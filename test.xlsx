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08"/>
  <workbookPr codeName="ThisWorkbook"/>
  <mc:AlternateContent xmlns:mc="http://schemas.openxmlformats.org/markup-compatibility/2006">
    <mc:Choice Requires="x15">
      <x15ac:absPath xmlns:x15ac="http://schemas.microsoft.com/office/spreadsheetml/2010/11/ac" url="D:\设计学习\Office学习\Excel学习\函数练习题\正则题\甜酱百味 发布\"/>
    </mc:Choice>
  </mc:AlternateContent>
  <xr:revisionPtr revIDLastSave="0" documentId="13_ncr:1_{F8B6FE28-5968-4034-B35C-EE03AEEC059D}" xr6:coauthVersionLast="47" xr6:coauthVersionMax="47" xr10:uidLastSave="{00000000-0000-0000-0000-000000000000}"/>
  <bookViews>
    <workbookView xWindow="-110" yWindow="-110" windowWidth="25820" windowHeight="13900" tabRatio="832" activeTab="1" xr2:uid="{00000000-000D-0000-FFFF-FFFF00000000}"/>
  </bookViews>
  <sheets>
    <sheet name="甜酱百味系列声明 " sheetId="79" r:id="rId1"/>
    <sheet name="A 字母分裂" sheetId="30" r:id="rId2"/>
    <sheet name="B 甜酱公主" sheetId="11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4" i="114" l="1" a="1"/>
  <c r="Z34" i="114" s="1"/>
  <c r="Z33" i="114" a="1"/>
  <c r="Z33" i="114" s="1"/>
  <c r="Z32" i="114" a="1"/>
  <c r="Z32" i="114" s="1"/>
  <c r="Z31" i="114"/>
  <c r="Z31" i="114" a="1"/>
  <c r="Z30" i="114" a="1"/>
  <c r="Z30" i="114" s="1"/>
  <c r="Z29" i="114" a="1"/>
  <c r="Z29" i="114" s="1"/>
  <c r="Z28" i="114" a="1"/>
  <c r="Z28" i="114" s="1"/>
  <c r="Z27" i="114" a="1"/>
  <c r="Z27" i="114" s="1"/>
  <c r="Z26" i="114" a="1"/>
  <c r="Z26" i="114" s="1"/>
  <c r="Z25" i="114" a="1"/>
  <c r="Z25" i="114" s="1"/>
  <c r="Z24" i="114" a="1"/>
  <c r="Z24" i="114" s="1"/>
  <c r="Z23" i="114" a="1"/>
  <c r="Z23" i="114" s="1"/>
  <c r="D34" i="114" a="1"/>
  <c r="D34" i="114" s="1"/>
  <c r="D33" i="114" a="1"/>
  <c r="D33" i="114" s="1"/>
  <c r="D32" i="114" a="1"/>
  <c r="D32" i="114" s="1"/>
  <c r="D31" i="114" a="1"/>
  <c r="D31" i="114" s="1"/>
  <c r="D30" i="114" a="1"/>
  <c r="D30" i="114" s="1"/>
  <c r="D29" i="114" a="1"/>
  <c r="D29" i="114" s="1"/>
  <c r="D28" i="114" a="1"/>
  <c r="D28" i="114" s="1"/>
  <c r="D27" i="114" a="1"/>
  <c r="D27" i="114" s="1"/>
  <c r="D26" i="114" a="1"/>
  <c r="D26" i="114" s="1"/>
  <c r="D25" i="114" a="1"/>
  <c r="D25" i="114" s="1"/>
  <c r="D24" i="114" a="1"/>
  <c r="D24" i="114" s="1"/>
  <c r="D23" i="114" a="1"/>
  <c r="D23" i="114" s="1"/>
  <c r="O33" i="114" a="1"/>
  <c r="O33" i="114" s="1"/>
  <c r="O34" i="114" a="1"/>
  <c r="O34" i="114" s="1"/>
  <c r="O24" i="114" a="1"/>
  <c r="O24" i="114" s="1"/>
  <c r="O25" i="114" a="1"/>
  <c r="O25" i="114" s="1"/>
  <c r="O26" i="114" a="1"/>
  <c r="O26" i="114" s="1"/>
  <c r="O27" i="114" a="1"/>
  <c r="O27" i="114" s="1"/>
  <c r="O28" i="114" a="1"/>
  <c r="O28" i="114" s="1"/>
  <c r="O29" i="114" a="1"/>
  <c r="O29" i="114" s="1"/>
  <c r="O30" i="114" a="1"/>
  <c r="O30" i="114" s="1"/>
  <c r="O31" i="114" a="1"/>
  <c r="O31" i="114" s="1"/>
  <c r="O32" i="114" a="1"/>
  <c r="O32" i="114" s="1"/>
  <c r="O23" i="114" a="1"/>
  <c r="O23" i="114" s="1"/>
  <c r="O8" i="114" a="1"/>
  <c r="O8" i="114" s="1"/>
  <c r="O9" i="114" a="1"/>
  <c r="O9" i="114" s="1"/>
  <c r="O10" i="114" a="1"/>
  <c r="O10" i="114" s="1"/>
  <c r="O11" i="114" a="1"/>
  <c r="O11" i="114" s="1"/>
  <c r="O12" i="114" a="1"/>
  <c r="O12" i="114" s="1"/>
  <c r="O13" i="114" a="1"/>
  <c r="O13" i="114" s="1"/>
  <c r="O14" i="114" a="1"/>
  <c r="O14" i="114" s="1"/>
  <c r="O15" i="114" a="1"/>
  <c r="O15" i="114" s="1"/>
  <c r="O16" i="114" a="1"/>
  <c r="O16" i="114" s="1"/>
  <c r="O17" i="114" a="1"/>
  <c r="O17" i="114" s="1"/>
  <c r="O18" i="114" a="1"/>
  <c r="O18" i="114" s="1"/>
  <c r="O19" i="114" a="1"/>
  <c r="O19" i="114" s="1"/>
  <c r="O20" i="114" a="1"/>
  <c r="O20" i="114" s="1"/>
  <c r="O7" i="114" a="1"/>
  <c r="O7" i="114" s="1"/>
  <c r="D20" i="114" a="1"/>
  <c r="D20" i="114" s="1"/>
  <c r="D19" i="114" a="1"/>
  <c r="D19" i="114" s="1"/>
  <c r="D18" i="114" a="1"/>
  <c r="D18" i="114" s="1"/>
  <c r="D17" i="114" a="1"/>
  <c r="D17" i="114" s="1"/>
  <c r="D16" i="114" a="1"/>
  <c r="D16" i="114" s="1"/>
  <c r="D15" i="114" a="1"/>
  <c r="D15" i="114" s="1"/>
  <c r="D14" i="114" a="1"/>
  <c r="D14" i="114" s="1"/>
  <c r="D13" i="114" a="1"/>
  <c r="D13" i="114" s="1"/>
  <c r="D12" i="114" a="1"/>
  <c r="D12" i="114" s="1"/>
  <c r="D11" i="114" a="1"/>
  <c r="D11" i="114" s="1"/>
  <c r="D10" i="114" a="1"/>
  <c r="D10" i="114" s="1"/>
  <c r="D9" i="114" a="1"/>
  <c r="D9" i="114" s="1"/>
  <c r="D8" i="114" a="1"/>
  <c r="D8" i="114" s="1"/>
  <c r="D7" i="114" a="1"/>
  <c r="D7" i="114" s="1"/>
  <c r="E7" i="30"/>
  <c r="E8" i="30"/>
  <c r="F8" i="30" s="1"/>
  <c r="E9" i="30"/>
  <c r="F9" i="30" s="1"/>
  <c r="E10" i="30"/>
  <c r="F10" i="30" s="1"/>
  <c r="E11" i="30"/>
  <c r="F11" i="30" s="1"/>
  <c r="E12" i="30"/>
  <c r="F12" i="30" s="1"/>
  <c r="E13" i="30"/>
  <c r="F13" i="30" s="1"/>
  <c r="E14" i="30"/>
  <c r="F14" i="30" s="1"/>
  <c r="E15" i="30"/>
  <c r="F15" i="30" s="1"/>
  <c r="E6" i="30"/>
  <c r="F6" i="30" s="1"/>
  <c r="AA7" i="114"/>
  <c r="A2" i="114"/>
  <c r="F7" i="30"/>
  <c r="G6" i="30"/>
  <c r="A2" i="30"/>
  <c r="Z10" i="114" l="1" a="1"/>
  <c r="Z10" i="114" s="1"/>
  <c r="Z12" i="114" a="1"/>
  <c r="Z12" i="114" s="1"/>
  <c r="Z16" i="114" a="1"/>
  <c r="Z16" i="114" s="1"/>
  <c r="Z17" i="114" a="1"/>
  <c r="Z17" i="114" s="1"/>
  <c r="Z7" i="114" a="1"/>
  <c r="Z7" i="114" s="1"/>
  <c r="Z9" i="114" a="1"/>
  <c r="Z9" i="114" s="1"/>
  <c r="Z14" i="114" a="1"/>
  <c r="Z14" i="114" s="1"/>
  <c r="Z15" i="114" a="1"/>
  <c r="Z15" i="114" s="1"/>
  <c r="Z18" i="114" a="1"/>
  <c r="Z18" i="114" s="1"/>
  <c r="Z20" i="114" a="1"/>
  <c r="Z20" i="114" s="1"/>
  <c r="Z19" i="114" a="1"/>
  <c r="Z19" i="114" s="1"/>
  <c r="Z13" i="114" a="1"/>
  <c r="Z13" i="114" s="1"/>
  <c r="Z11" i="114" a="1"/>
  <c r="Z11" i="114" s="1"/>
  <c r="Z8" i="114" a="1"/>
  <c r="Z8" i="1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<sst xmlns="http://schemas.openxmlformats.org/spreadsheetml/2006/main" count="314" uniqueCount="143">
  <si>
    <t>题集简介</t>
  </si>
  <si>
    <r>
      <rPr>
        <sz val="11"/>
        <color rgb="FF7030A0"/>
        <rFont val="等线"/>
        <family val="3"/>
        <charset val="134"/>
        <scheme val="minor"/>
      </rPr>
      <t>甜</t>
    </r>
    <r>
      <rPr>
        <sz val="11"/>
        <color rgb="FF0070C0"/>
        <rFont val="等线"/>
        <family val="3"/>
        <charset val="134"/>
        <scheme val="minor"/>
      </rPr>
      <t>酱</t>
    </r>
    <r>
      <rPr>
        <sz val="11"/>
        <color rgb="FFFFC000"/>
        <rFont val="等线"/>
        <family val="3"/>
        <charset val="134"/>
        <scheme val="minor"/>
      </rPr>
      <t>百</t>
    </r>
    <r>
      <rPr>
        <sz val="11"/>
        <color rgb="FFC00000"/>
        <rFont val="等线"/>
        <family val="3"/>
        <charset val="134"/>
        <scheme val="minor"/>
      </rPr>
      <t>味</t>
    </r>
    <r>
      <rPr>
        <sz val="11"/>
        <color theme="1"/>
        <rFont val="等线"/>
        <family val="3"/>
        <charset val="134"/>
        <scheme val="minor"/>
      </rPr>
      <t>系列题是100道以正则表达式为主要考点的Excel题，由娋甜（鱼腹酱）出题和整理，考点的广度和深度较高，
其中9成以上题为原创（如有雷同，纯属巧合），从1星到10星按难度梯度分级，鼓励不同水平的朋友共同参与。
题目发布阶段每期出一组题（</t>
    </r>
    <r>
      <rPr>
        <sz val="11"/>
        <color rgb="FFFF0000"/>
        <rFont val="等线"/>
        <family val="3"/>
        <charset val="134"/>
        <scheme val="minor"/>
      </rPr>
      <t>低难度A题+高难度B题</t>
    </r>
    <r>
      <rPr>
        <sz val="11"/>
        <color theme="1"/>
        <rFont val="等线"/>
        <family val="3"/>
        <charset val="134"/>
        <scheme val="minor"/>
      </rPr>
      <t>），可自由选择解答并在链接提交答案。
每期每题字符最少者奖励鸭鸭一只，Microsoft365字符数少于预设字符者，额外奖励鸭鸭一只。</t>
    </r>
  </si>
  <si>
    <t>做题必看</t>
  </si>
  <si>
    <r>
      <rPr>
        <sz val="11"/>
        <color theme="1"/>
        <rFont val="等线"/>
        <family val="3"/>
        <charset val="134"/>
        <scheme val="minor"/>
      </rPr>
      <t>1.题干中若提到</t>
    </r>
    <r>
      <rPr>
        <sz val="11"/>
        <color rgb="FFFF0000"/>
        <rFont val="等线"/>
        <family val="3"/>
        <charset val="134"/>
        <scheme val="minor"/>
      </rPr>
      <t>“单一正则函数完成”</t>
    </r>
    <r>
      <rPr>
        <sz val="11"/>
        <color theme="1"/>
        <rFont val="等线"/>
        <family val="3"/>
        <charset val="134"/>
        <scheme val="minor"/>
      </rPr>
      <t>，如无特殊说明，指公式中只能包含“REGEXP REGEXEXTRACT REGEXREPLACE REGEXTEST"四种函数之一，</t>
    </r>
    <r>
      <rPr>
        <sz val="11"/>
        <color rgb="FFFF0000"/>
        <rFont val="等线"/>
        <family val="3"/>
        <charset val="134"/>
        <scheme val="minor"/>
      </rPr>
      <t>且只能出现一次</t>
    </r>
    <r>
      <rPr>
        <sz val="11"/>
        <color theme="1"/>
        <rFont val="等线"/>
        <family val="3"/>
        <charset val="134"/>
        <scheme val="minor"/>
      </rPr>
      <t>，但允许出现单元格引用、基本符号（:."+-*/^&amp;()@等）、数字、常量数组等。
2.所有题目皆设固定验证及正误检测，少量涉及随机验证，</t>
    </r>
    <r>
      <rPr>
        <sz val="11"/>
        <color rgb="FFFF0000"/>
        <rFont val="等线"/>
        <family val="3"/>
        <charset val="134"/>
        <scheme val="minor"/>
      </rPr>
      <t>题目自带检测全TRUE</t>
    </r>
    <r>
      <rPr>
        <sz val="11"/>
        <color theme="1"/>
        <rFont val="等线"/>
        <family val="3"/>
        <charset val="134"/>
        <scheme val="minor"/>
      </rPr>
      <t>，即代表题目正确完成，允许在符合题意的合理范围内“偷鸡”，但不可以歪曲题意哟~</t>
    </r>
  </si>
  <si>
    <t>难度指示</t>
  </si>
  <si>
    <t>星级</t>
  </si>
  <si>
    <t>难度</t>
  </si>
  <si>
    <t>丝绒轻语</t>
  </si>
  <si>
    <t>指尖糖霜</t>
  </si>
  <si>
    <t>果粒绵绵</t>
  </si>
  <si>
    <t>泡芙甜心</t>
  </si>
  <si>
    <t>浓郁可可</t>
  </si>
  <si>
    <t>酒心迷魂</t>
  </si>
  <si>
    <t>热辣风暴</t>
  </si>
  <si>
    <t>焦糖黑洞</t>
  </si>
  <si>
    <t>毒鸩审判</t>
  </si>
  <si>
    <t>黑巧禁区</t>
  </si>
  <si>
    <t>友情提示</t>
  </si>
  <si>
    <r>
      <rPr>
        <sz val="11"/>
        <color theme="1"/>
        <rFont val="等线"/>
        <family val="3"/>
        <charset val="134"/>
        <scheme val="minor"/>
      </rPr>
      <t>1.本题集创作平台为Microsoft 365，所有题目</t>
    </r>
    <r>
      <rPr>
        <sz val="11"/>
        <color rgb="FFFF0000"/>
        <rFont val="等线"/>
        <family val="3"/>
        <charset val="134"/>
        <scheme val="minor"/>
      </rPr>
      <t>预设答案的字符数皆为Microsoft 365的字符数</t>
    </r>
    <r>
      <rPr>
        <sz val="11"/>
        <color theme="1"/>
        <rFont val="等线"/>
        <family val="3"/>
        <charset val="134"/>
        <scheme val="minor"/>
      </rPr>
      <t>，且不一定最短，WPS可能存在个别题无解的情况。预设答案撰写时间为2025年，由于365不断更新，可能出现引擎规则变化导致极少数情况下解答存在出入；
2.本题集星级设置主要基于预设答案考虑，综合考虑了知识点难度、综合运用难度、最短字符难度等，整体梯度处理合理误差范围，但不可避免有一定</t>
    </r>
    <r>
      <rPr>
        <sz val="11"/>
        <color rgb="FFFF0000"/>
        <rFont val="等线"/>
        <family val="3"/>
        <charset val="134"/>
        <scheme val="minor"/>
      </rPr>
      <t>主观性</t>
    </r>
    <r>
      <rPr>
        <sz val="11"/>
        <color theme="1"/>
        <rFont val="等线"/>
        <family val="3"/>
        <charset val="134"/>
        <scheme val="minor"/>
      </rPr>
      <t>，不同答题者对难度的感受必然有所差异；
3.因创作者水平有限，题目难免存在瑕疵或错漏，敬请发现问题的大佬们指正；
4.本题集题目的最终解释权归鱼腹酱所有，题集正在逐步完善中，终版题集可能存在少量改动优化。</t>
    </r>
  </si>
  <si>
    <t>废话连篇</t>
  </si>
  <si>
    <r>
      <rPr>
        <sz val="11"/>
        <color theme="1"/>
        <rFont val="等线"/>
        <family val="3"/>
        <charset val="134"/>
        <scheme val="minor"/>
      </rPr>
      <t>甜——作者名 娋甜，暗示很甜(x
酱——作者名 鱼腹酱，同时甜酱也是娋甜的昵称
百——本篇题集包含100题[暗示百变少女(不是)]
味——指本题集网罗了各类不同正则用法和思路，也指这变化万千的正则表达式趣味无穷静候大家品尝
所以即使是</t>
    </r>
    <r>
      <rPr>
        <sz val="11"/>
        <color rgb="FF6600CC"/>
        <rFont val="等线"/>
        <family val="3"/>
        <charset val="134"/>
        <scheme val="minor"/>
      </rPr>
      <t>甜</t>
    </r>
    <r>
      <rPr>
        <sz val="11"/>
        <color rgb="FF0070C0"/>
        <rFont val="等线"/>
        <family val="3"/>
        <charset val="134"/>
        <scheme val="minor"/>
      </rPr>
      <t>酱</t>
    </r>
    <r>
      <rPr>
        <sz val="11"/>
        <color theme="1"/>
        <rFont val="等线"/>
        <family val="3"/>
        <charset val="134"/>
        <scheme val="minor"/>
      </rPr>
      <t>，也有</t>
    </r>
    <r>
      <rPr>
        <sz val="11"/>
        <color theme="7"/>
        <rFont val="等线"/>
        <family val="3"/>
        <charset val="134"/>
        <scheme val="minor"/>
      </rPr>
      <t>百</t>
    </r>
    <r>
      <rPr>
        <sz val="11"/>
        <rFont val="等线"/>
        <family val="3"/>
        <charset val="134"/>
        <scheme val="minor"/>
      </rPr>
      <t>种</t>
    </r>
    <r>
      <rPr>
        <sz val="11"/>
        <color theme="1"/>
        <rFont val="等线"/>
        <family val="3"/>
        <charset val="134"/>
        <scheme val="minor"/>
      </rPr>
      <t>滋</t>
    </r>
    <r>
      <rPr>
        <sz val="11"/>
        <color rgb="FFC00000"/>
        <rFont val="等线"/>
        <family val="3"/>
        <charset val="134"/>
        <scheme val="minor"/>
      </rPr>
      <t>味</t>
    </r>
    <r>
      <rPr>
        <sz val="11"/>
        <color theme="1"/>
        <rFont val="等线"/>
        <family val="3"/>
        <charset val="134"/>
        <scheme val="minor"/>
      </rPr>
      <t xml:space="preserve">哦！衷心希望不同level的正则表达式学习者能够从本题集中有所收获！
</t>
    </r>
    <r>
      <rPr>
        <sz val="11"/>
        <color rgb="FFFF0000"/>
        <rFont val="等线"/>
        <family val="3"/>
        <charset val="134"/>
        <scheme val="minor"/>
      </rPr>
      <t>应大家要求新建微信群供大家讨论学习正则表达式和本题库问题，欢迎不同水平的正则爱好者加入~</t>
    </r>
  </si>
  <si>
    <t>题干</t>
  </si>
  <si>
    <t>模拟答案</t>
  </si>
  <si>
    <t>答案</t>
  </si>
  <si>
    <t>答案验证</t>
  </si>
  <si>
    <t>字符数</t>
  </si>
  <si>
    <t>字符串</t>
  </si>
  <si>
    <t>QQ</t>
  </si>
  <si>
    <t>Q</t>
  </si>
  <si>
    <t>下列字符串由字母、数字、符号组成，请将所有字母复制一个副本在其身后（单一正则函数完成）</t>
  </si>
  <si>
    <t>ABCDEFG</t>
  </si>
  <si>
    <t>AABBCCDDEEFFGG</t>
  </si>
  <si>
    <t>1z2Y3x4W5</t>
  </si>
  <si>
    <t>1zz2YY3xx4WW5</t>
  </si>
  <si>
    <t>987-65</t>
  </si>
  <si>
    <t>day day up</t>
  </si>
  <si>
    <t>ddaayy ddaayy uupp</t>
  </si>
  <si>
    <t>Chrismas</t>
  </si>
  <si>
    <t>CChhrriissmmaass</t>
  </si>
  <si>
    <t>Bubble Bop</t>
    <phoneticPr fontId="12" type="noConversion"/>
  </si>
  <si>
    <t>MP4</t>
    <phoneticPr fontId="12" type="noConversion"/>
  </si>
  <si>
    <t>Don't!</t>
    <phoneticPr fontId="12" type="noConversion"/>
  </si>
  <si>
    <t>(010)10086</t>
  </si>
  <si>
    <t>(010)10086</t>
    <phoneticPr fontId="12" type="noConversion"/>
  </si>
  <si>
    <t>BBuubbbbllee BBoopp</t>
  </si>
  <si>
    <t>MMPP4</t>
  </si>
  <si>
    <t>DDoonn'tt!</t>
  </si>
  <si>
    <r>
      <t xml:space="preserve">本期答案提交链接
</t>
    </r>
    <r>
      <rPr>
        <b/>
        <sz val="11"/>
        <color theme="1"/>
        <rFont val="等线"/>
        <family val="3"/>
        <charset val="134"/>
        <scheme val="minor"/>
      </rPr>
      <t>开题日期 2025/3/19</t>
    </r>
    <phoneticPr fontId="12" type="noConversion"/>
  </si>
  <si>
    <t>abABccddeeZfghJZxWFGmX</t>
  </si>
  <si>
    <t>abmxkBMXAKfbmcksFkDKLSfasoirutb</t>
  </si>
  <si>
    <t>xXfFkKlLiIfFvVpPeEzZ</t>
  </si>
  <si>
    <t>umpdDPUMZfFZrrrrR</t>
  </si>
  <si>
    <t>FfFmMZE</t>
  </si>
  <si>
    <t>sLsSZfFWxXZWZzZWeE</t>
  </si>
  <si>
    <t>xvfoVFXcOZtTWskKSZPZpqeiowqP</t>
  </si>
  <si>
    <t>AZBZFCZE</t>
  </si>
  <si>
    <t>FOLSFfiIFZwqWmmMzAZerreRE</t>
  </si>
  <si>
    <t>nZZa</t>
  </si>
  <si>
    <t>ZZWZ</t>
  </si>
  <si>
    <t>Z</t>
  </si>
  <si>
    <t>ABC</t>
  </si>
  <si>
    <t>aAZZZZZZZ</t>
    <phoneticPr fontId="12" type="noConversion"/>
  </si>
  <si>
    <t>守城勇者　　　　　　　　　　　　　　魔物大军</t>
    <phoneticPr fontId="12" type="noConversion"/>
  </si>
  <si>
    <t>示例1解说：①勇士首先被a施毒，因后方2步是A，2≤7，因此中毒立刻被五毒珠治愈，勇士成功斩杀a；②斩杀b时同理；③勇士打不过A被A敲晕，魔军Abccddee成功入城；④直到Z行进到勇士旁边，将勇者治愈，勇者醒来直接杀掉虚弱的Z，并继续杀f和g（因为在七步内都有解药F和G）；⑤面对h的施毒，五毒珠在7步内找不到H，故无法解毒，勇士中毒倒地，hJ成功入城；⑥直到下一个Z再次来到身边，但这次Z后方2步是W巫师，2≤3，Z体内甜血灵咒无法治愈勇者，勇者从此倒地不起。最终，这条裂隙中被勇士杀了的魔军有abZfg。</t>
    <phoneticPr fontId="12" type="noConversion"/>
  </si>
  <si>
    <r>
      <t>　　请先阅读甜酱原创小说：
　　甜酱被正则星神一瞥，坠入了异界，醒来发现自己是末世中甜国的公主，世界将要被异界魔物占领。这是一群以毒见长的怪物，共有26类52族。水晶沙盘显示邻国的百姓正在遭遇蹂躏，到处尽是少女的哭嚎和魔物的尖啸。先前甜国因奸佞叛乱与瘟疫肆虐，人口锐减五分之四。国王以生命为祭撑起魔法结界，护住残余忠臣与公主，最终肃清奸党、平息瘟疫。他知道，在战争上堪以重用的大臣已在叛乱中被阴谋尽数毒害，此刻只有公主是国家的最后一丝希望。
　　甜酱被脑中涌入的18年记忆震慑了心神，仿佛那是自己亲身经历的18个岁月。很快她意识到自己的使命，担起了保卫国家的重任。她用占星仪推演着二十六种末日路径，星轨的碎片如逆飞的流星，在她琥珀色的瞳底交织成血色的预言。看着魔物军团正以斐波那契螺旋轨迹吞噬大陆，甜酱传令七大实验室，激活所有灵枢茧舱，命研究员将前线将士用生命换回的魔物碎片置入测试肌体，对52族魔物进行深度分析。“一定要赶在魔军抵达之前做好准备！”甜酱暗想。
　　……
　　“报告公主，已按公主要求，以非欧几何扭曲所有主干道，让魔军永远困在莫比乌斯回廊里，同时留出14条量子裂隙，每条裂隙仅1人宽！”
　　……
　　“报告公主，已按公主指示将公主室女之血所凝结晶在基因共振仪中炼化成五毒珠，只要达到条件，足以在中毒万分之一秒内完成解毒！预计足够完成14颗五毒珠炼制！”
　　……
　　“报告公主，仅存的32名死士，已携带基因病毒，顺利投放在邻国魔军中，不下半日，预计所有Z类魔军体内将顺利植入甜血灵咒！”
　　……
　　“报告公主，次元隐蛊已培养完毕！”
　　……
　　“将我预先选好的意志力最坚定的14名勇士喊来，今夜将是决战！”甜酱吩咐道。
　　“可是公主，武力高超的战士已经几乎死绝，这14位的技能并不精湛，一定只能解决魔军小兵，无法对抗精英怪物啊！”
　　“我自有办法。”
　　14名勇士到齐。　
　　“你们负责14条量子裂隙的守卫工作。我会将14颗五毒珠刻印入你们体内，同时你们服下这次元隐蛊。</t>
    </r>
    <r>
      <rPr>
        <b/>
        <sz val="8"/>
        <color theme="1"/>
        <rFont val="等线"/>
        <family val="3"/>
        <charset val="134"/>
        <scheme val="minor"/>
      </rPr>
      <t>你们和小兵魔物（小写字母）打照面时，它们定会先手喷射毒液，中毒瞬间，五毒珠才会启动，它会在你们前方7步之内搜索和当前小兵同类的精英魔物（与该小写字母对应的大写字母），一旦识别到标靶即可开始解码程序，瞬间治愈你们，你们可以顺势将小兵斩杀；但若７步之内没有同类精英魔物，你们会中毒休克，但只要你们失去意识，给你们喂下的次元隐蛊会将你们暂时抽离到空间夹缝，使得魔物虽然能够通过，但无法看见你们。你们只需要等待我预先种下基因病毒的魔物Z来到你们面前，Z体内被种下的甜血灵咒，会对意识游离的你们产生量子纠缠，强制触发生命链接，汲取Z的生命力将你们拉回到现实次元并瞬间治愈，趁此机会，尽可斩杀虚弱的Z即可。唯一不可控的是，如果Z后面三步之内有敌人的巫师W存在，那它们的被动死亡光环，将使灵咒无法启动，你们就必须再等待下一个Z出现，祈祷附近没有巫师，方可恢复战力。</t>
    </r>
    <r>
      <rPr>
        <sz val="8"/>
        <color theme="1"/>
        <rFont val="等线"/>
        <family val="3"/>
        <charset val="134"/>
        <scheme val="minor"/>
      </rPr>
      <t>”
　　“可是公主，我们无法战胜精英魔物（大写字母）啊！”6号勇士说。
　　“无妨，</t>
    </r>
    <r>
      <rPr>
        <b/>
        <sz val="8"/>
        <color theme="1"/>
        <rFont val="等线"/>
        <family val="3"/>
        <charset val="134"/>
        <scheme val="minor"/>
      </rPr>
      <t>精英魔物不使毒，他们尽管会击晕你们，但你们身上的甜甜铠甲可保你们不会死亡，次元隐蛊也会及时将晕倒的你们拉入空间夹缝，等待Z体内的灵咒治愈你们，你们再奋勇杀敌即可。如若击晕你们的正是精英Z，甜血灵咒也会照常生效，即刻汲取Z的生命力治愈你们，你们直接斩杀虚弱的Z即可。</t>
    </r>
    <r>
      <rPr>
        <sz val="8"/>
        <color theme="1"/>
        <rFont val="等线"/>
        <family val="3"/>
        <charset val="134"/>
        <scheme val="minor"/>
      </rPr>
      <t xml:space="preserve">”
　　“假若直到裂隙敌人尽数通过，Z也未出现或灵咒被光环限制，未能生效呢？”8号勇士问道。
　　6号勇士明白：“那吾等定将永远坠入空间夹缝，消失于世。”
　　“为甜国献出生命，此亦我等荣光！”众人应和。
　　9号勇士想起来问：“那我们没有战力期间涌入城中的魔物怎么办？”
　　“你们尽管杀敌，城中我会布置结界，短期内魔物无法伤害居民，只要你们成功击杀七七四十九只魔物，我在地脉处布置的正则法阵就会启动，方圆百里的魔物都将化为齑粉。”
　　“甜……”一直沉默的4号勇士听到这里，眉心微皱，暗握双拳，“……公主，您岂不是……”
　　甜酱抚摸着胸前的王室纹章，感受着父亲仿佛尚余的温度，目光扫过4号勇士同为琥珀色的双眸，缓缓道：“正则法阵是以我灵魂为祭的，我终将和父亲走上相同的道路，为了甜国的一切……这是我无法逃避的宿命……可能，我终究是不属于这里罢……”
　　“公主……”
　　“不必难过，甜国的所有子民，在我走后，务必铭记：每天做一道正则题，可保甜国永世安宁！”
</t>
    </r>
    <r>
      <rPr>
        <b/>
        <sz val="8"/>
        <color theme="1"/>
        <rFont val="等线"/>
        <family val="3"/>
        <charset val="134"/>
        <scheme val="minor"/>
      </rPr>
      <t>　　请列出14条量子裂隙之路上所有会被勇士杀死的魔物，甜酱能否成功保卫国家，将由你来决定！（单一正则函数完成，无结果返回空）</t>
    </r>
    <phoneticPr fontId="12" type="noConversion"/>
  </si>
  <si>
    <t>　　“ETIROVAF YM SI XEGER。”随着公主的吟唱，正则法阵的光芒吞没甜酱，谁也没有注意到，她望向4号勇士坚守的那条裂隙的方向，隐约寻见断剑上独特的纹章正在黯淡，心脏的最后一次搏动，仿佛在轻叩模糊幼年记忆的门扉：一位少年背着少女穿越燃烧的蔷薇丛……心性善良的少年落入权谋陷阱，被逐出王室，流放疆北，再未相见……
　　“……哥哥，是你吗……”她指尖最后一点星屑飘向夜空，化作甜国永悬的晨星。</t>
    <phoneticPr fontId="12" type="noConversion"/>
  </si>
  <si>
    <t>难度</t>
    <phoneticPr fontId="12" type="noConversion"/>
  </si>
  <si>
    <t>甜酱简析</t>
    <phoneticPr fontId="12" type="noConversion"/>
  </si>
  <si>
    <t>　　本题核心考察最常用的一种\p{}系列字符集\p{L}，大括号可省略，属于新手必知必会。它包含了各种语言的字母，包括汉字、假名等。
　　题干要求提取字母，一般来说用[a-zA-Z]，可以用[A-z]偷字符，但必须注意数据源不包含Z-a之间的字符。而如本题不包含汉字的情况，就可以使用\pL简化表达式。
　　另外一方面，MS可以使用$0直接对匹配项整体进行引用，WPS需要增加括号，对组1进行引用。</t>
    <phoneticPr fontId="12" type="noConversion"/>
  </si>
  <si>
    <t>题目A</t>
  </si>
  <si>
    <t>正误</t>
  </si>
  <si>
    <t>昵称</t>
  </si>
  <si>
    <t>字符</t>
  </si>
  <si>
    <t>软件</t>
  </si>
  <si>
    <t>公式</t>
  </si>
  <si>
    <t>对</t>
  </si>
  <si>
    <t>预设</t>
  </si>
  <si>
    <t>微软</t>
  </si>
  <si>
    <t>=REGEXREPLACE(A6,"\pL","$0$0")</t>
  </si>
  <si>
    <t>WPS</t>
  </si>
  <si>
    <t>=REGEXP(A6,"(\pL)",2,"\1\1")</t>
  </si>
  <si>
    <t>SEAN</t>
  </si>
  <si>
    <t>=REGEXREPLACE(A6,"\pL","$&amp;$&amp;")</t>
  </si>
  <si>
    <t>Sabrina</t>
  </si>
  <si>
    <t>天堂之火</t>
  </si>
  <si>
    <t>=REGEXREPLACE(A6,"\pl","$0$0")</t>
  </si>
  <si>
    <t>Zxy</t>
  </si>
  <si>
    <t>天真丶蓝</t>
  </si>
  <si>
    <t>贵贵</t>
  </si>
  <si>
    <t>Fine</t>
  </si>
  <si>
    <t>惊醒</t>
  </si>
  <si>
    <t>牛魔王</t>
  </si>
  <si>
    <t>皮蛋solo周</t>
  </si>
  <si>
    <t>周健</t>
  </si>
  <si>
    <t>=REGEXREPLACE(A6,"[A-z]","$0$0")</t>
  </si>
  <si>
    <t>望帝春心</t>
  </si>
  <si>
    <t>TOBY</t>
  </si>
  <si>
    <t>=REGEXREPLACE(A6,"(\pL)","$1$1")</t>
  </si>
  <si>
    <t>=REGEXREPLACE(A6,"([A-z])","$1$1")</t>
  </si>
  <si>
    <t>diss</t>
  </si>
  <si>
    <t>=REGEXREPLACE(A6,"[a-z]","$0$0",,1)</t>
  </si>
  <si>
    <t>=REGEXREPLACE(A6:A15,"([A-z])|([\d-])","$1$1$2")</t>
  </si>
  <si>
    <t>圆舟</t>
  </si>
  <si>
    <t>=REGEXP(A6,"(\pl)",2,"\1\1")</t>
  </si>
  <si>
    <t>鸡</t>
  </si>
  <si>
    <t>在0和1的世界</t>
  </si>
  <si>
    <t>家有囡囡</t>
  </si>
  <si>
    <t>=REGEXP(A6,"([A-z])",2,"\1\1")</t>
  </si>
  <si>
    <t>遺忘的嬟憶</t>
  </si>
  <si>
    <t>朤</t>
  </si>
  <si>
    <t>梦醒、必相依</t>
  </si>
  <si>
    <t>学不废</t>
  </si>
  <si>
    <t>微信用户</t>
  </si>
  <si>
    <t>WPS_1695049364</t>
  </si>
  <si>
    <t>=REGEXP(A6,"(\p{L})",2,"\1\1")</t>
  </si>
  <si>
    <t>川流不息</t>
  </si>
  <si>
    <t>            白饭.</t>
  </si>
  <si>
    <t>mazuli</t>
  </si>
  <si>
    <t>财务部-孔困困</t>
  </si>
  <si>
    <t>=REGEXP(A6,"([A-Za-z])",2,"\1\1")</t>
  </si>
  <si>
    <t>星路</t>
  </si>
  <si>
    <t>=REGEXP(A6,"([a-zA-Z])",2,"\1\1")</t>
  </si>
  <si>
    <t>套马的女汉子</t>
  </si>
  <si>
    <t>=REGEXP(A6,"(\p{Lu}|\p{Ll})",2,"\1\1")</t>
  </si>
  <si>
    <t>题目B</t>
  </si>
  <si>
    <t>=REGEXEXTRACT(A7,"\G([a-z])(?=.{,6}(?!\1)(?i)\1)|.*?\KZ(?!.?.?W)|^.+\K",1)</t>
  </si>
  <si>
    <t>=REGEXP(A7,"\G([a-z])(?=.{,6}(?!\1)(?i)\1)|.*?\KZ(?!.?.?W)|^.+\K")</t>
  </si>
  <si>
    <t>=REGEXEXTRACT(A7,"Z(?!.?.?W)|\G([a-z])(?=.{,6}(?=[A-Z])(?i)\1)|^([^Z]*(Z.?.?W)*)*$\K",1)</t>
  </si>
  <si>
    <t>=REGEXEXTRACT(A7,"\G([a-z])(?=.{,6}(?=[A-Y])(?i)\1)|Z(?!.{,2}W)|^(.*Z.{,2}W)?[^Z]*$\K",1)</t>
  </si>
  <si>
    <t>　　本题是《甜酱百味》发布以来，在第10期之际奉上的第一个十星题，感谢各位大佬的支持和捧场。
　　本题是对5B题“字母上桌”的深化应用，经过5B的练习，本题很容易想到使用\G来确保匹配的连续性。而在PCRE引擎中（微软在\G方面的逻辑并非PCRE2，而是PCRE，和WPS一致），\G无法穿越分支，因此可以用第二分支的匹配（也就是寻找合法的Z）来驱动引擎推进字符，并匹配到合法的Z，然后重启第一分支\G的匹配。这样就可以形成循环：合法的小写字母——失败后的无W干扰的Z——合法的小写字母——失败后的无W干扰的Z……
　　对于匹配和自己相对应的大写字母，其实早在第四期留下的思考题和第五期给出的简析里预先给过提示了。不再赘述。看答案即可明白。
　　剩下的难点就是容错处理，如果直接进行容错处理，考虑不周会产生很多bug。本酱选择的方法是拒绝补丁，从根本上解决问题。在预设中，第二分支不仅仅对Z进行W的条件判断，同时增加.*?\K，这样可以从第一个字符开始，“懒惰”地逐个字符探索是否能找到合法的Z，如找到，切断并匹配Z，就可以无视第三分支；如果没找到，表示一路没有合法的Z，回溯到字符串开头，直接匹配第三分支即可。
　　本题 FINE ZXY 都用自己的思路给出了精彩的解答~十星好评~</t>
    <phoneticPr fontId="12" type="noConversion"/>
  </si>
  <si>
    <t>aZW</t>
  </si>
  <si>
    <t>aZW</t>
    <phoneticPr fontId="12" type="noConversion"/>
  </si>
  <si>
    <t>ZaaaW</t>
    <phoneticPr fontId="12" type="noConversion"/>
  </si>
  <si>
    <t>aZaaW</t>
  </si>
  <si>
    <t>aaaW</t>
  </si>
  <si>
    <t>a</t>
  </si>
  <si>
    <t>ZW</t>
  </si>
  <si>
    <t>ZWZW</t>
  </si>
  <si>
    <t>ZZZW</t>
  </si>
  <si>
    <t>AZWBZWcZW</t>
  </si>
  <si>
    <t>AZWBZWcZWazw</t>
  </si>
  <si>
    <t>aZBWcZjjWoZWf</t>
  </si>
  <si>
    <t>补充验证</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</si>
</sst>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等线"/>
      <charset val="134"/>
      <scheme val="minor"/>
    </font>
    <font>
      <sz val="11"/>
      <color theme="0"/>
      <name val="等线"/>
      <family val="3"/>
      <charset val="134"/>
      <scheme val="minor"/>
    </font>
    <font>
      <sz val="11"/>
      <color theme="1"/>
      <name val="等线"/>
      <family val="3"/>
      <charset val="134"/>
      <scheme val="minor"/>
    </font>
    <font>
      <sz val="8"/>
      <color rgb="FF404040"/>
      <name val="Segoe UI"/>
      <family val="2"/>
    </font>
    <font>
      <sz val="11"/>
      <color rgb="FFFF0000"/>
      <name val="等线"/>
      <family val="3"/>
      <charset val="134"/>
      <scheme val="minor"/>
    </font>
    <font>
      <sz val="11"/>
      <name val="等线"/>
      <family val="3"/>
      <charset val="134"/>
      <scheme val="minor"/>
    </font>
    <font>
      <b/>
      <sz val="11"/>
      <color theme="1"/>
      <name val="等线"/>
      <family val="3"/>
      <charset val="134"/>
      <scheme val="minor"/>
    </font>
    <font>
      <b/>
      <sz val="14"/>
      <color theme="1"/>
      <name val="等线"/>
      <family val="3"/>
      <charset val="134"/>
      <scheme val="minor"/>
    </font>
    <font>
      <u/>
      <sz val="14"/>
      <color theme="10"/>
      <name val="等线"/>
      <family val="3"/>
      <charset val="134"/>
      <scheme val="minor"/>
    </font>
    <font>
      <sz val="14"/>
      <color theme="1"/>
      <name val="等线"/>
      <family val="3"/>
      <charset val="134"/>
      <scheme val="minor"/>
    </font>
    <font>
      <u/>
      <sz val="11"/>
      <color theme="10"/>
      <name val="等线"/>
      <family val="3"/>
      <charset val="134"/>
      <scheme val="minor"/>
    </font>
    <font>
      <sz val="11"/>
      <color theme="7"/>
      <name val="等线"/>
      <family val="3"/>
      <charset val="134"/>
      <scheme val="minor"/>
    </font>
    <font>
      <sz val="9"/>
      <name val="等线"/>
      <family val="3"/>
      <charset val="134"/>
      <scheme val="minor"/>
    </font>
    <font>
      <sz val="11"/>
      <color rgb="FF6600CC"/>
      <name val="等线"/>
      <family val="3"/>
      <charset val="134"/>
      <scheme val="minor"/>
    </font>
    <font>
      <sz val="11"/>
      <color rgb="FF0070C0"/>
      <name val="等线"/>
      <family val="3"/>
      <charset val="134"/>
      <scheme val="minor"/>
    </font>
    <font>
      <sz val="11"/>
      <color rgb="FFC00000"/>
      <name val="等线"/>
      <family val="3"/>
      <charset val="134"/>
      <scheme val="minor"/>
    </font>
    <font>
      <sz val="11"/>
      <color rgb="FF7030A0"/>
      <name val="等线"/>
      <family val="3"/>
      <charset val="134"/>
      <scheme val="minor"/>
    </font>
    <font>
      <sz val="11"/>
      <color rgb="FFFFC000"/>
      <name val="等线"/>
      <family val="3"/>
      <charset val="134"/>
      <scheme val="minor"/>
    </font>
    <font>
      <sz val="11"/>
      <color theme="1"/>
      <name val="Segoe UI Emoji"/>
      <family val="2"/>
    </font>
    <font>
      <sz val="8"/>
      <color theme="1"/>
      <name val="等线"/>
      <family val="3"/>
      <charset val="134"/>
      <scheme val="minor"/>
    </font>
    <font>
      <b/>
      <sz val="16"/>
      <color rgb="FFFAB0B0"/>
      <name val="微软雅黑"/>
      <family val="2"/>
      <charset val="134"/>
    </font>
    <font>
      <b/>
      <sz val="8"/>
      <color theme="1"/>
      <name val="等线"/>
      <family val="3"/>
      <charset val="134"/>
      <scheme val="minor"/>
    </font>
    <font>
      <sz val="10"/>
      <color theme="1"/>
      <name val="等线"/>
      <family val="3"/>
      <charset val="134"/>
      <scheme val="minor"/>
    </font>
    <font>
      <sz val="10"/>
      <color rgb="FF000000"/>
      <name val="微软雅黑"/>
      <family val="2"/>
      <charset val="134"/>
    </font>
    <font>
      <sz val="14"/>
      <color theme="1"/>
      <name val="等线"/>
      <family val="3"/>
      <charset val="134"/>
    </font>
  </fonts>
  <fills count="18">
    <fill>
      <patternFill patternType="none"/>
    </fill>
    <fill>
      <patternFill patternType="gray125"/>
    </fill>
    <fill>
      <patternFill patternType="solid">
        <fgColor theme="5" tint="0.7993408001953185"/>
        <bgColor indexed="64"/>
      </patternFill>
    </fill>
    <fill>
      <patternFill patternType="solid">
        <fgColor theme="9" tint="0.7993408001953185"/>
        <bgColor indexed="64"/>
      </patternFill>
    </fill>
    <fill>
      <patternFill patternType="solid">
        <fgColor theme="8" tint="0.7993408001953185"/>
        <bgColor indexed="64"/>
      </patternFill>
    </fill>
    <fill>
      <patternFill patternType="solid">
        <fgColor theme="7" tint="0.7993408001953185"/>
        <bgColor indexed="64"/>
      </patternFill>
    </fill>
    <fill>
      <patternFill patternType="solid">
        <fgColor rgb="FFFCD0D0"/>
        <bgColor indexed="64"/>
      </patternFill>
    </fill>
    <fill>
      <patternFill patternType="solid">
        <fgColor theme="0"/>
        <bgColor indexed="64"/>
      </patternFill>
    </fill>
    <fill>
      <patternFill patternType="solid">
        <fgColor rgb="FFF8FFEB"/>
        <bgColor indexed="64"/>
      </patternFill>
    </fill>
    <fill>
      <patternFill patternType="solid">
        <fgColor rgb="FFEBFFEC"/>
        <bgColor indexed="64"/>
      </patternFill>
    </fill>
    <fill>
      <patternFill patternType="solid">
        <fgColor rgb="FFEBF8FF"/>
        <bgColor indexed="64"/>
      </patternFill>
    </fill>
    <fill>
      <patternFill patternType="solid">
        <fgColor rgb="FFEBEEFF"/>
        <bgColor indexed="64"/>
      </patternFill>
    </fill>
    <fill>
      <patternFill patternType="solid">
        <fgColor rgb="FFF9EBFF"/>
        <bgColor indexed="64"/>
      </patternFill>
    </fill>
    <fill>
      <patternFill patternType="solid">
        <fgColor rgb="FFFFEBF4"/>
        <bgColor indexed="64"/>
      </patternFill>
    </fill>
    <fill>
      <patternFill patternType="solid">
        <fgColor rgb="FFFAB0B0"/>
        <bgColor indexed="64"/>
      </patternFill>
    </fill>
    <fill>
      <patternFill patternType="solid">
        <fgColor rgb="FFF66A6A"/>
        <bgColor indexed="64"/>
      </patternFill>
    </fill>
    <fill>
      <patternFill patternType="solid">
        <fgColor theme="4" tint="0.7993713187047945"/>
        <bgColor indexed="64"/>
      </patternFill>
    </fill>
    <fill>
      <patternFill patternType="solid">
        <fgColor theme="8" tint="0.79973754081850645"/>
        <bgColor indexed="64"/>
      </patternFill>
    </fill>
  </fills>
  <borders count="18">
    <border>
      <left/>
      <right/>
      <top/>
      <bottom/>
      <diagonal/>
    </border>
    <border>
      <left style="thin">
        <color auto="1"/>
      </left>
      <right style="thin">
        <color auto="1"/>
      </right>
      <top style="thin">
        <color auto="1"/>
      </top>
      <bottom style="thin">
        <color auto="1"/>
      </bottom>
      <diagonal/>
    </border>
    <border>
      <left style="double">
        <color auto="1"/>
      </left>
      <right/>
      <top style="double">
        <color auto="1"/>
      </top>
      <bottom/>
      <diagonal/>
    </border>
    <border>
      <left/>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style="double">
        <color auto="1"/>
      </top>
      <bottom/>
      <diagonal/>
    </border>
    <border>
      <left/>
      <right style="double">
        <color auto="1"/>
      </right>
      <top/>
      <bottom style="double">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5">
    <xf numFmtId="0" fontId="0" fillId="0" borderId="0"/>
    <xf numFmtId="0" fontId="10" fillId="0" borderId="0" applyNumberFormat="0" applyFill="0" applyBorder="0" applyAlignment="0" applyProtection="0"/>
    <xf numFmtId="0" fontId="2" fillId="0" borderId="0">
      <alignment vertical="center"/>
    </xf>
    <xf numFmtId="0" fontId="2" fillId="0" borderId="0"/>
    <xf numFmtId="0" fontId="2" fillId="0" borderId="0"/>
  </cellStyleXfs>
  <cellXfs count="71">
    <xf numFmtId="0" fontId="0" fillId="0" borderId="0" xfId="0"/>
    <xf numFmtId="0" fontId="0" fillId="0" borderId="0" xfId="0" applyAlignment="1">
      <alignment horizontal="center" vertical="center"/>
    </xf>
    <xf numFmtId="0" fontId="1" fillId="0" borderId="0" xfId="0" applyFont="1"/>
    <xf numFmtId="0" fontId="0" fillId="0" borderId="0" xfId="0" applyAlignment="1">
      <alignment horizontal="left" vertical="center"/>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applyAlignment="1">
      <alignment horizontal="center" vertical="center"/>
    </xf>
    <xf numFmtId="0" fontId="2" fillId="2" borderId="1" xfId="0" applyFont="1" applyFill="1" applyBorder="1" applyAlignment="1">
      <alignment horizontal="center" vertical="center"/>
    </xf>
    <xf numFmtId="0" fontId="2" fillId="7" borderId="1" xfId="4" applyFill="1" applyBorder="1" applyAlignment="1">
      <alignment horizontal="center" vertical="center"/>
    </xf>
    <xf numFmtId="0" fontId="2" fillId="8" borderId="1" xfId="4" applyFill="1" applyBorder="1" applyAlignment="1">
      <alignment horizontal="center" vertical="center"/>
    </xf>
    <xf numFmtId="0" fontId="2" fillId="9" borderId="1" xfId="4" applyFill="1" applyBorder="1" applyAlignment="1">
      <alignment horizontal="center" vertical="center"/>
    </xf>
    <xf numFmtId="0" fontId="2" fillId="10" borderId="1" xfId="4" applyFill="1" applyBorder="1" applyAlignment="1">
      <alignment horizontal="center" vertical="center"/>
    </xf>
    <xf numFmtId="0" fontId="2" fillId="11" borderId="1" xfId="4" applyFill="1" applyBorder="1" applyAlignment="1">
      <alignment horizontal="center" vertical="center"/>
    </xf>
    <xf numFmtId="0" fontId="2" fillId="12" borderId="1" xfId="4" applyFill="1" applyBorder="1" applyAlignment="1">
      <alignment horizontal="center" vertical="center"/>
    </xf>
    <xf numFmtId="0" fontId="2" fillId="13" borderId="1" xfId="4" applyFill="1" applyBorder="1" applyAlignment="1">
      <alignment horizontal="center" vertical="center"/>
    </xf>
    <xf numFmtId="0" fontId="2" fillId="6" borderId="1" xfId="4" applyFill="1" applyBorder="1" applyAlignment="1">
      <alignment horizontal="center" vertical="center"/>
    </xf>
    <xf numFmtId="0" fontId="2" fillId="14" borderId="1" xfId="4" applyFill="1" applyBorder="1" applyAlignment="1">
      <alignment horizontal="center" vertical="center"/>
    </xf>
    <xf numFmtId="0" fontId="2" fillId="15" borderId="1" xfId="4" applyFill="1" applyBorder="1" applyAlignment="1">
      <alignment horizontal="center" vertical="center"/>
    </xf>
    <xf numFmtId="0" fontId="2" fillId="0" borderId="0" xfId="4"/>
    <xf numFmtId="0" fontId="6" fillId="5" borderId="0" xfId="4" applyFont="1" applyFill="1" applyAlignment="1">
      <alignment horizontal="center" vertical="center"/>
    </xf>
    <xf numFmtId="0" fontId="6" fillId="3" borderId="2" xfId="4" applyFont="1" applyFill="1" applyBorder="1" applyAlignment="1">
      <alignment horizontal="center" vertical="center"/>
    </xf>
    <xf numFmtId="0" fontId="2" fillId="0" borderId="3" xfId="4" applyBorder="1"/>
    <xf numFmtId="0" fontId="6" fillId="8" borderId="0" xfId="4" applyFont="1" applyFill="1" applyAlignment="1">
      <alignment horizontal="center" vertical="center"/>
    </xf>
    <xf numFmtId="0" fontId="6" fillId="0" borderId="0" xfId="4" applyFont="1" applyAlignment="1">
      <alignment horizontal="center" vertical="center"/>
    </xf>
    <xf numFmtId="0" fontId="3" fillId="0" borderId="0" xfId="4" applyFont="1" applyAlignment="1">
      <alignment horizontal="left" vertical="center" wrapText="1" indent="1"/>
    </xf>
    <xf numFmtId="0" fontId="2" fillId="0" borderId="6" xfId="4" applyBorder="1"/>
    <xf numFmtId="0" fontId="10" fillId="0" borderId="0" xfId="1"/>
    <xf numFmtId="0" fontId="2" fillId="0" borderId="0" xfId="3" applyAlignment="1">
      <alignment horizontal="center" vertical="center"/>
    </xf>
    <xf numFmtId="0" fontId="1" fillId="0" borderId="0" xfId="3" applyFont="1" applyAlignment="1">
      <alignment horizontal="center" vertical="center"/>
    </xf>
    <xf numFmtId="0" fontId="2" fillId="0" borderId="1" xfId="3" applyBorder="1" applyAlignment="1">
      <alignment horizontal="distributed" vertical="center"/>
    </xf>
    <xf numFmtId="0" fontId="2" fillId="0" borderId="1" xfId="3" applyBorder="1" applyAlignment="1">
      <alignment horizontal="center" vertical="center"/>
    </xf>
    <xf numFmtId="0" fontId="2" fillId="2" borderId="1" xfId="3" applyFill="1" applyBorder="1" applyAlignment="1">
      <alignment horizontal="left" vertical="center" indent="5"/>
    </xf>
    <xf numFmtId="49" fontId="18" fillId="0" borderId="0" xfId="3" applyNumberFormat="1" applyFont="1" applyAlignment="1">
      <alignment horizontal="center" vertical="center"/>
    </xf>
    <xf numFmtId="0" fontId="2" fillId="3" borderId="1" xfId="3" applyFill="1" applyBorder="1" applyAlignment="1">
      <alignment horizontal="center" vertical="center"/>
    </xf>
    <xf numFmtId="0" fontId="2" fillId="17" borderId="1" xfId="3" applyFill="1" applyBorder="1" applyAlignment="1">
      <alignment horizontal="center" vertical="center"/>
    </xf>
    <xf numFmtId="0" fontId="2" fillId="5" borderId="1" xfId="3" applyFill="1" applyBorder="1" applyAlignment="1">
      <alignment horizontal="center" vertical="center"/>
    </xf>
    <xf numFmtId="49" fontId="2" fillId="0" borderId="0" xfId="3" applyNumberFormat="1" applyAlignment="1">
      <alignment horizontal="center" vertical="center"/>
    </xf>
    <xf numFmtId="0" fontId="2" fillId="0" borderId="0" xfId="3"/>
    <xf numFmtId="0" fontId="2" fillId="6" borderId="0" xfId="0" applyFont="1" applyFill="1"/>
    <xf numFmtId="0" fontId="23" fillId="0" borderId="15" xfId="0" applyFont="1" applyBorder="1" applyAlignment="1">
      <alignment horizontal="center" vertical="center"/>
    </xf>
    <xf numFmtId="0" fontId="23" fillId="0" borderId="16" xfId="0" applyFont="1" applyBorder="1" applyAlignment="1">
      <alignment horizontal="center" vertical="center"/>
    </xf>
    <xf numFmtId="49" fontId="23" fillId="0" borderId="16" xfId="0" applyNumberFormat="1" applyFont="1" applyBorder="1" applyAlignment="1">
      <alignment horizontal="left" vertical="center"/>
    </xf>
    <xf numFmtId="0" fontId="23" fillId="0" borderId="16" xfId="0" applyFont="1" applyBorder="1" applyAlignment="1">
      <alignment horizontal="left" vertical="center"/>
    </xf>
    <xf numFmtId="0" fontId="2" fillId="2" borderId="17" xfId="3" applyFill="1" applyBorder="1" applyAlignment="1">
      <alignment horizontal="left" vertical="center" indent="5"/>
    </xf>
    <xf numFmtId="0" fontId="2" fillId="3" borderId="17" xfId="3" applyFill="1" applyBorder="1" applyAlignment="1">
      <alignment horizontal="center" vertical="center"/>
    </xf>
    <xf numFmtId="0" fontId="2" fillId="17" borderId="17" xfId="3" applyFill="1" applyBorder="1" applyAlignment="1">
      <alignment horizontal="center" vertical="center"/>
    </xf>
    <xf numFmtId="0" fontId="2" fillId="0" borderId="0" xfId="3" applyAlignment="1">
      <alignment vertical="center"/>
    </xf>
    <xf numFmtId="0" fontId="2" fillId="0" borderId="0" xfId="4" applyAlignment="1">
      <alignment horizontal="left" vertical="center" wrapText="1"/>
    </xf>
    <xf numFmtId="0" fontId="2" fillId="5" borderId="0" xfId="4" applyFill="1" applyAlignment="1">
      <alignment horizontal="left" vertical="center" wrapText="1"/>
    </xf>
    <xf numFmtId="0" fontId="7" fillId="16" borderId="0" xfId="4" applyFont="1" applyFill="1" applyAlignment="1">
      <alignment horizontal="center" vertical="center" wrapText="1"/>
    </xf>
    <xf numFmtId="0" fontId="8" fillId="16" borderId="0" xfId="1" applyFont="1" applyFill="1" applyAlignment="1">
      <alignment horizontal="center" vertical="center" wrapText="1"/>
    </xf>
    <xf numFmtId="0" fontId="9" fillId="16" borderId="0" xfId="4" applyFont="1" applyFill="1" applyAlignment="1">
      <alignment horizontal="center" vertical="center" wrapText="1"/>
    </xf>
    <xf numFmtId="0" fontId="2" fillId="3" borderId="4" xfId="4" applyFill="1" applyBorder="1" applyAlignment="1">
      <alignment horizontal="left" vertical="center" wrapText="1"/>
    </xf>
    <xf numFmtId="0" fontId="2" fillId="3" borderId="5" xfId="4" applyFill="1" applyBorder="1" applyAlignment="1">
      <alignment horizontal="left" vertical="center" wrapText="1"/>
    </xf>
    <xf numFmtId="0" fontId="2" fillId="3" borderId="7" xfId="4" applyFill="1" applyBorder="1" applyAlignment="1">
      <alignment horizontal="left" vertical="center" wrapText="1"/>
    </xf>
    <xf numFmtId="0" fontId="22" fillId="6" borderId="0" xfId="0" applyFont="1" applyFill="1" applyAlignment="1">
      <alignment vertical="center" wrapText="1"/>
    </xf>
    <xf numFmtId="0" fontId="22" fillId="6" borderId="11" xfId="0" applyFont="1" applyFill="1" applyBorder="1" applyAlignment="1">
      <alignment vertical="center" wrapText="1"/>
    </xf>
    <xf numFmtId="0" fontId="23" fillId="0" borderId="12" xfId="0" applyFont="1" applyBorder="1" applyAlignment="1">
      <alignment horizontal="center" vertical="center"/>
    </xf>
    <xf numFmtId="0" fontId="23" fillId="0" borderId="13" xfId="0" applyFont="1" applyBorder="1" applyAlignment="1">
      <alignment horizontal="center" vertical="center"/>
    </xf>
    <xf numFmtId="0" fontId="23" fillId="0" borderId="14" xfId="0" applyFont="1" applyBorder="1" applyAlignment="1">
      <alignment horizontal="center" vertical="center"/>
    </xf>
    <xf numFmtId="0" fontId="2" fillId="0" borderId="8" xfId="3" applyBorder="1" applyAlignment="1">
      <alignment horizontal="center" vertical="center"/>
    </xf>
    <xf numFmtId="0" fontId="2" fillId="0" borderId="9" xfId="3" applyBorder="1" applyAlignment="1">
      <alignment horizontal="center" vertical="center"/>
    </xf>
    <xf numFmtId="0" fontId="2" fillId="0" borderId="10" xfId="3" applyBorder="1" applyAlignment="1">
      <alignment horizontal="center" vertical="center"/>
    </xf>
    <xf numFmtId="0" fontId="20" fillId="0" borderId="0" xfId="3" applyFont="1" applyAlignment="1">
      <alignment vertical="center" wrapText="1"/>
    </xf>
    <xf numFmtId="0" fontId="20" fillId="0" borderId="0" xfId="3" applyFont="1" applyAlignment="1">
      <alignment vertical="center"/>
    </xf>
    <xf numFmtId="0" fontId="19" fillId="0" borderId="0" xfId="3" applyFont="1" applyAlignment="1">
      <alignment vertical="center" wrapText="1"/>
    </xf>
    <xf numFmtId="0" fontId="24" fillId="6" borderId="0" xfId="0" applyFont="1" applyFill="1" applyAlignment="1">
      <alignment vertical="center" wrapText="1"/>
    </xf>
    <xf numFmtId="0" fontId="24" fillId="6" borderId="11" xfId="0" applyFont="1" applyFill="1" applyBorder="1" applyAlignment="1">
      <alignment vertical="center" wrapText="1"/>
    </xf>
    <xf numFmtId="0" fontId="2" fillId="0" borderId="0" xfId="3" applyAlignment="1">
      <alignment vertical="center" wrapText="1"/>
    </xf>
  </cellXfs>
  <cellStyles count="5">
    <cellStyle name="常规" xfId="0" builtinId="0"/>
    <cellStyle name="常规 2" xfId="2" xr:uid="{00000000-0005-0000-0000-000031000000}"/>
    <cellStyle name="常规 3" xfId="3" xr:uid="{00000000-0005-0000-0000-000032000000}"/>
    <cellStyle name="常规 4" xfId="4" xr:uid="{00000000-0005-0000-0000-000033000000}"/>
    <cellStyle name="超链接" xfId="1" builtinId="8"/>
  </cellStyles>
  <dxfs count="7">
    <dxf>
      <font>
        <color rgb="FF9C0006"/>
      </font>
    </dxf>
    <dxf>
      <font>
        <color rgb="FF9C0006"/>
      </font>
    </dxf>
    <dxf>
      <font>
        <color rgb="FF9C0006"/>
      </font>
    </dxf>
    <dxf>
      <font>
        <color rgb="FF9C0006"/>
      </font>
    </dxf>
    <dxf>
      <font>
        <color rgb="FF9C0006"/>
      </font>
    </dxf>
    <dxf>
      <font>
        <color rgb="FF9C0006"/>
      </font>
    </dxf>
    <dxf>
      <font>
        <color rgb="FF9C0006"/>
      </font>
    </dxf>
  </dxfs>
  <tableStyles count="0" defaultTableStyle="TableStyleMedium2" defaultPivotStyle="PivotStyleLight16"/>
  <colors>
    <mruColors>
      <color rgb="FFFAB0B0"/>
      <color rgb="FFFCD0D0"/>
      <color rgb="FFBFC4A4"/>
      <color rgb="FFF66A6A"/>
      <color rgb="FFFFEBF4"/>
      <color rgb="FFF9EBFF"/>
      <color rgb="FFEBEEFF"/>
      <color rgb="FFEBF8FF"/>
      <color rgb="FFEBFFEC"/>
      <color rgb="FFF8FF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7</xdr:col>
      <xdr:colOff>674413</xdr:colOff>
      <xdr:row>2</xdr:row>
      <xdr:rowOff>70069</xdr:rowOff>
    </xdr:from>
    <xdr:to>
      <xdr:col>8</xdr:col>
      <xdr:colOff>259229</xdr:colOff>
      <xdr:row>2</xdr:row>
      <xdr:rowOff>342080</xdr:rowOff>
    </xdr:to>
    <xdr:pic>
      <xdr:nvPicPr>
        <xdr:cNvPr id="5" name="图形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74970" y="1162050"/>
          <a:ext cx="270510" cy="271780"/>
        </a:xfrm>
        <a:prstGeom prst="rect">
          <a:avLst/>
        </a:prstGeom>
      </xdr:spPr>
    </xdr:pic>
    <xdr:clientData/>
  </xdr:twoCellAnchor>
  <xdr:twoCellAnchor editAs="oneCell">
    <xdr:from>
      <xdr:col>8</xdr:col>
      <xdr:colOff>670035</xdr:colOff>
      <xdr:row>2</xdr:row>
      <xdr:rowOff>70069</xdr:rowOff>
    </xdr:from>
    <xdr:to>
      <xdr:col>9</xdr:col>
      <xdr:colOff>254851</xdr:colOff>
      <xdr:row>2</xdr:row>
      <xdr:rowOff>342080</xdr:rowOff>
    </xdr:to>
    <xdr:pic>
      <xdr:nvPicPr>
        <xdr:cNvPr id="7" name="图形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56325" y="1162050"/>
          <a:ext cx="270510" cy="271780"/>
        </a:xfrm>
        <a:prstGeom prst="rect">
          <a:avLst/>
        </a:prstGeom>
      </xdr:spPr>
    </xdr:pic>
    <xdr:clientData/>
  </xdr:twoCellAnchor>
  <xdr:twoCellAnchor editAs="oneCell">
    <xdr:from>
      <xdr:col>2</xdr:col>
      <xdr:colOff>414881</xdr:colOff>
      <xdr:row>2</xdr:row>
      <xdr:rowOff>96486</xdr:rowOff>
    </xdr:from>
    <xdr:to>
      <xdr:col>2</xdr:col>
      <xdr:colOff>659549</xdr:colOff>
      <xdr:row>2</xdr:row>
      <xdr:rowOff>340028</xdr:rowOff>
    </xdr:to>
    <xdr:pic>
      <xdr:nvPicPr>
        <xdr:cNvPr id="8" name="图片 7" descr="形状&#10;&#10;AI 生成的内容可能不正确。">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86255" y="1188085"/>
          <a:ext cx="244475" cy="243840"/>
        </a:xfrm>
        <a:prstGeom prst="rect">
          <a:avLst/>
        </a:prstGeom>
      </xdr:spPr>
    </xdr:pic>
    <xdr:clientData/>
  </xdr:twoCellAnchor>
  <xdr:twoCellAnchor editAs="oneCell">
    <xdr:from>
      <xdr:col>1</xdr:col>
      <xdr:colOff>412240</xdr:colOff>
      <xdr:row>2</xdr:row>
      <xdr:rowOff>96486</xdr:rowOff>
    </xdr:from>
    <xdr:to>
      <xdr:col>1</xdr:col>
      <xdr:colOff>655861</xdr:colOff>
      <xdr:row>2</xdr:row>
      <xdr:rowOff>340028</xdr:rowOff>
    </xdr:to>
    <xdr:pic>
      <xdr:nvPicPr>
        <xdr:cNvPr id="10" name="图片 9" descr="形状&#10;&#10;AI 生成的内容可能不正确。">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7915" y="1188085"/>
          <a:ext cx="243205" cy="243840"/>
        </a:xfrm>
        <a:prstGeom prst="rect">
          <a:avLst/>
        </a:prstGeom>
      </xdr:spPr>
    </xdr:pic>
    <xdr:clientData/>
  </xdr:twoCellAnchor>
  <xdr:twoCellAnchor editAs="oneCell">
    <xdr:from>
      <xdr:col>2</xdr:col>
      <xdr:colOff>54002</xdr:colOff>
      <xdr:row>2</xdr:row>
      <xdr:rowOff>67095</xdr:rowOff>
    </xdr:from>
    <xdr:to>
      <xdr:col>2</xdr:col>
      <xdr:colOff>336562</xdr:colOff>
      <xdr:row>2</xdr:row>
      <xdr:rowOff>349849</xdr:rowOff>
    </xdr:to>
    <xdr:pic>
      <xdr:nvPicPr>
        <xdr:cNvPr id="12" name="图片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25575" y="1158875"/>
          <a:ext cx="282575" cy="282575"/>
        </a:xfrm>
        <a:prstGeom prst="rect">
          <a:avLst/>
        </a:prstGeom>
      </xdr:spPr>
    </xdr:pic>
    <xdr:clientData/>
  </xdr:twoCellAnchor>
  <xdr:twoCellAnchor editAs="oneCell">
    <xdr:from>
      <xdr:col>8</xdr:col>
      <xdr:colOff>286528</xdr:colOff>
      <xdr:row>2</xdr:row>
      <xdr:rowOff>32641</xdr:rowOff>
    </xdr:from>
    <xdr:to>
      <xdr:col>8</xdr:col>
      <xdr:colOff>645258</xdr:colOff>
      <xdr:row>2</xdr:row>
      <xdr:rowOff>390586</xdr:rowOff>
    </xdr:to>
    <xdr:pic>
      <xdr:nvPicPr>
        <xdr:cNvPr id="13" name="图片 12" descr="图片包含 图标&#10;&#10;AI 生成的内容可能不正确。">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772785" y="1124585"/>
          <a:ext cx="358775" cy="358140"/>
        </a:xfrm>
        <a:prstGeom prst="rect">
          <a:avLst/>
        </a:prstGeom>
      </xdr:spPr>
    </xdr:pic>
    <xdr:clientData/>
  </xdr:twoCellAnchor>
  <xdr:twoCellAnchor editAs="oneCell">
    <xdr:from>
      <xdr:col>9</xdr:col>
      <xdr:colOff>351692</xdr:colOff>
      <xdr:row>11</xdr:row>
      <xdr:rowOff>138397</xdr:rowOff>
    </xdr:from>
    <xdr:to>
      <xdr:col>10</xdr:col>
      <xdr:colOff>658724</xdr:colOff>
      <xdr:row>12</xdr:row>
      <xdr:rowOff>1118577</xdr:rowOff>
    </xdr:to>
    <xdr:pic>
      <xdr:nvPicPr>
        <xdr:cNvPr id="3" name="图片 2" descr="QR 代码&#10;&#10;AI 生成的内容可能不正确。">
          <a:extLst>
            <a:ext uri="{FF2B5EF4-FFF2-40B4-BE49-F238E27FC236}">
              <a16:creationId xmlns:a16="http://schemas.microsoft.com/office/drawing/2014/main" id="{8FA82284-8B36-FE98-7608-1B79C625D9C6}"/>
            </a:ext>
          </a:extLst>
        </xdr:cNvPr>
        <xdr:cNvPicPr>
          <a:picLocks noChangeAspect="1"/>
        </xdr:cNvPicPr>
      </xdr:nvPicPr>
      <xdr:blipFill>
        <a:blip xmlns:r="http://schemas.openxmlformats.org/officeDocument/2006/relationships" r:embed="rId6"/>
        <a:stretch>
          <a:fillRect/>
        </a:stretch>
      </xdr:blipFill>
      <xdr:spPr>
        <a:xfrm>
          <a:off x="6506307" y="5472397"/>
          <a:ext cx="990879" cy="11560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2340</xdr:colOff>
      <xdr:row>9</xdr:row>
      <xdr:rowOff>155074</xdr:rowOff>
    </xdr:from>
    <xdr:to>
      <xdr:col>10</xdr:col>
      <xdr:colOff>245961</xdr:colOff>
      <xdr:row>11</xdr:row>
      <xdr:rowOff>30316</xdr:rowOff>
    </xdr:to>
    <xdr:pic>
      <xdr:nvPicPr>
        <xdr:cNvPr id="2" name="图片 1" descr="形状&#10;&#10;AI 生成的内容可能不正确。">
          <a:extLst>
            <a:ext uri="{FF2B5EF4-FFF2-40B4-BE49-F238E27FC236}">
              <a16:creationId xmlns:a16="http://schemas.microsoft.com/office/drawing/2014/main" id="{C61AE124-1A8B-4ED6-9193-65D4A9551B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2208" y="2029995"/>
          <a:ext cx="243621" cy="242874"/>
        </a:xfrm>
        <a:prstGeom prst="rect">
          <a:avLst/>
        </a:prstGeom>
      </xdr:spPr>
    </xdr:pic>
    <xdr:clientData/>
  </xdr:twoCellAnchor>
  <xdr:twoCellAnchor editAs="oneCell">
    <xdr:from>
      <xdr:col>10</xdr:col>
      <xdr:colOff>2340</xdr:colOff>
      <xdr:row>10</xdr:row>
      <xdr:rowOff>155408</xdr:rowOff>
    </xdr:from>
    <xdr:to>
      <xdr:col>10</xdr:col>
      <xdr:colOff>245961</xdr:colOff>
      <xdr:row>12</xdr:row>
      <xdr:rowOff>30651</xdr:rowOff>
    </xdr:to>
    <xdr:pic>
      <xdr:nvPicPr>
        <xdr:cNvPr id="3" name="图片 2" descr="形状&#10;&#10;AI 生成的内容可能不正确。">
          <a:extLst>
            <a:ext uri="{FF2B5EF4-FFF2-40B4-BE49-F238E27FC236}">
              <a16:creationId xmlns:a16="http://schemas.microsoft.com/office/drawing/2014/main" id="{4105A17C-FBF5-20E5-201A-1841559A60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2208" y="2214145"/>
          <a:ext cx="243621" cy="242874"/>
        </a:xfrm>
        <a:prstGeom prst="rect">
          <a:avLst/>
        </a:prstGeom>
      </xdr:spPr>
    </xdr:pic>
    <xdr:clientData/>
  </xdr:twoCellAnchor>
  <xdr:twoCellAnchor editAs="oneCell">
    <xdr:from>
      <xdr:col>10</xdr:col>
      <xdr:colOff>2340</xdr:colOff>
      <xdr:row>11</xdr:row>
      <xdr:rowOff>155742</xdr:rowOff>
    </xdr:from>
    <xdr:to>
      <xdr:col>10</xdr:col>
      <xdr:colOff>245961</xdr:colOff>
      <xdr:row>13</xdr:row>
      <xdr:rowOff>30985</xdr:rowOff>
    </xdr:to>
    <xdr:pic>
      <xdr:nvPicPr>
        <xdr:cNvPr id="4" name="图片 3" descr="形状&#10;&#10;AI 生成的内容可能不正确。">
          <a:extLst>
            <a:ext uri="{FF2B5EF4-FFF2-40B4-BE49-F238E27FC236}">
              <a16:creationId xmlns:a16="http://schemas.microsoft.com/office/drawing/2014/main" id="{B57C8086-6801-A550-5CE3-BA31412DBF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2208" y="2398295"/>
          <a:ext cx="243621" cy="242874"/>
        </a:xfrm>
        <a:prstGeom prst="rect">
          <a:avLst/>
        </a:prstGeom>
      </xdr:spPr>
    </xdr:pic>
    <xdr:clientData/>
  </xdr:twoCellAnchor>
  <xdr:twoCellAnchor editAs="oneCell">
    <xdr:from>
      <xdr:col>10</xdr:col>
      <xdr:colOff>2340</xdr:colOff>
      <xdr:row>12</xdr:row>
      <xdr:rowOff>156077</xdr:rowOff>
    </xdr:from>
    <xdr:to>
      <xdr:col>10</xdr:col>
      <xdr:colOff>245961</xdr:colOff>
      <xdr:row>14</xdr:row>
      <xdr:rowOff>31319</xdr:rowOff>
    </xdr:to>
    <xdr:pic>
      <xdr:nvPicPr>
        <xdr:cNvPr id="5" name="图片 4" descr="形状&#10;&#10;AI 生成的内容可能不正确。">
          <a:extLst>
            <a:ext uri="{FF2B5EF4-FFF2-40B4-BE49-F238E27FC236}">
              <a16:creationId xmlns:a16="http://schemas.microsoft.com/office/drawing/2014/main" id="{D63D7A95-4BB6-3348-B006-4454453330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2208" y="2582445"/>
          <a:ext cx="243621" cy="242874"/>
        </a:xfrm>
        <a:prstGeom prst="rect">
          <a:avLst/>
        </a:prstGeom>
      </xdr:spPr>
    </xdr:pic>
    <xdr:clientData/>
  </xdr:twoCellAnchor>
  <xdr:twoCellAnchor editAs="oneCell">
    <xdr:from>
      <xdr:col>10</xdr:col>
      <xdr:colOff>2340</xdr:colOff>
      <xdr:row>13</xdr:row>
      <xdr:rowOff>156411</xdr:rowOff>
    </xdr:from>
    <xdr:to>
      <xdr:col>10</xdr:col>
      <xdr:colOff>245961</xdr:colOff>
      <xdr:row>15</xdr:row>
      <xdr:rowOff>31653</xdr:rowOff>
    </xdr:to>
    <xdr:pic>
      <xdr:nvPicPr>
        <xdr:cNvPr id="6" name="图片 5" descr="形状&#10;&#10;AI 生成的内容可能不正确。">
          <a:extLst>
            <a:ext uri="{FF2B5EF4-FFF2-40B4-BE49-F238E27FC236}">
              <a16:creationId xmlns:a16="http://schemas.microsoft.com/office/drawing/2014/main" id="{76990E26-66DB-A2BF-852A-2B5444CAC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2208" y="2766595"/>
          <a:ext cx="243621" cy="242874"/>
        </a:xfrm>
        <a:prstGeom prst="rect">
          <a:avLst/>
        </a:prstGeom>
      </xdr:spPr>
    </xdr:pic>
    <xdr:clientData/>
  </xdr:twoCellAnchor>
  <xdr:twoCellAnchor editAs="oneCell">
    <xdr:from>
      <xdr:col>10</xdr:col>
      <xdr:colOff>2340</xdr:colOff>
      <xdr:row>14</xdr:row>
      <xdr:rowOff>156745</xdr:rowOff>
    </xdr:from>
    <xdr:to>
      <xdr:col>10</xdr:col>
      <xdr:colOff>245961</xdr:colOff>
      <xdr:row>16</xdr:row>
      <xdr:rowOff>31987</xdr:rowOff>
    </xdr:to>
    <xdr:pic>
      <xdr:nvPicPr>
        <xdr:cNvPr id="7" name="图片 6" descr="形状&#10;&#10;AI 生成的内容可能不正确。">
          <a:extLst>
            <a:ext uri="{FF2B5EF4-FFF2-40B4-BE49-F238E27FC236}">
              <a16:creationId xmlns:a16="http://schemas.microsoft.com/office/drawing/2014/main" id="{AE3BA8D7-8B02-A71C-71C4-C9CA759B2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2208" y="2950745"/>
          <a:ext cx="243621" cy="242874"/>
        </a:xfrm>
        <a:prstGeom prst="rect">
          <a:avLst/>
        </a:prstGeom>
      </xdr:spPr>
    </xdr:pic>
    <xdr:clientData/>
  </xdr:twoCellAnchor>
  <xdr:twoCellAnchor editAs="oneCell">
    <xdr:from>
      <xdr:col>10</xdr:col>
      <xdr:colOff>2340</xdr:colOff>
      <xdr:row>15</xdr:row>
      <xdr:rowOff>157079</xdr:rowOff>
    </xdr:from>
    <xdr:to>
      <xdr:col>10</xdr:col>
      <xdr:colOff>245961</xdr:colOff>
      <xdr:row>17</xdr:row>
      <xdr:rowOff>32322</xdr:rowOff>
    </xdr:to>
    <xdr:pic>
      <xdr:nvPicPr>
        <xdr:cNvPr id="8" name="图片 7" descr="形状&#10;&#10;AI 生成的内容可能不正确。">
          <a:extLst>
            <a:ext uri="{FF2B5EF4-FFF2-40B4-BE49-F238E27FC236}">
              <a16:creationId xmlns:a16="http://schemas.microsoft.com/office/drawing/2014/main" id="{2F5B0A46-5BFB-A939-E5B0-99A9FC835E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2208" y="3134895"/>
          <a:ext cx="243621" cy="242874"/>
        </a:xfrm>
        <a:prstGeom prst="rect">
          <a:avLst/>
        </a:prstGeom>
      </xdr:spPr>
    </xdr:pic>
    <xdr:clientData/>
  </xdr:twoCellAnchor>
  <xdr:twoCellAnchor editAs="oneCell">
    <xdr:from>
      <xdr:col>10</xdr:col>
      <xdr:colOff>2340</xdr:colOff>
      <xdr:row>16</xdr:row>
      <xdr:rowOff>157413</xdr:rowOff>
    </xdr:from>
    <xdr:to>
      <xdr:col>10</xdr:col>
      <xdr:colOff>245961</xdr:colOff>
      <xdr:row>18</xdr:row>
      <xdr:rowOff>32656</xdr:rowOff>
    </xdr:to>
    <xdr:pic>
      <xdr:nvPicPr>
        <xdr:cNvPr id="9" name="图片 8" descr="形状&#10;&#10;AI 生成的内容可能不正确。">
          <a:extLst>
            <a:ext uri="{FF2B5EF4-FFF2-40B4-BE49-F238E27FC236}">
              <a16:creationId xmlns:a16="http://schemas.microsoft.com/office/drawing/2014/main" id="{19911F7D-5B08-027F-1852-A33BE7A6B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2208" y="3319045"/>
          <a:ext cx="243621" cy="242874"/>
        </a:xfrm>
        <a:prstGeom prst="rect">
          <a:avLst/>
        </a:prstGeom>
      </xdr:spPr>
    </xdr:pic>
    <xdr:clientData/>
  </xdr:twoCellAnchor>
  <xdr:twoCellAnchor editAs="oneCell">
    <xdr:from>
      <xdr:col>10</xdr:col>
      <xdr:colOff>2340</xdr:colOff>
      <xdr:row>17</xdr:row>
      <xdr:rowOff>157748</xdr:rowOff>
    </xdr:from>
    <xdr:to>
      <xdr:col>10</xdr:col>
      <xdr:colOff>245961</xdr:colOff>
      <xdr:row>19</xdr:row>
      <xdr:rowOff>32990</xdr:rowOff>
    </xdr:to>
    <xdr:pic>
      <xdr:nvPicPr>
        <xdr:cNvPr id="10" name="图片 9" descr="形状&#10;&#10;AI 生成的内容可能不正确。">
          <a:extLst>
            <a:ext uri="{FF2B5EF4-FFF2-40B4-BE49-F238E27FC236}">
              <a16:creationId xmlns:a16="http://schemas.microsoft.com/office/drawing/2014/main" id="{BA60298B-5EAC-1CD3-0A9A-3F5A3A7008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2208" y="3503195"/>
          <a:ext cx="243621" cy="242874"/>
        </a:xfrm>
        <a:prstGeom prst="rect">
          <a:avLst/>
        </a:prstGeom>
      </xdr:spPr>
    </xdr:pic>
    <xdr:clientData/>
  </xdr:twoCellAnchor>
  <xdr:twoCellAnchor editAs="oneCell">
    <xdr:from>
      <xdr:col>10</xdr:col>
      <xdr:colOff>2340</xdr:colOff>
      <xdr:row>18</xdr:row>
      <xdr:rowOff>158082</xdr:rowOff>
    </xdr:from>
    <xdr:to>
      <xdr:col>10</xdr:col>
      <xdr:colOff>245961</xdr:colOff>
      <xdr:row>20</xdr:row>
      <xdr:rowOff>33324</xdr:rowOff>
    </xdr:to>
    <xdr:pic>
      <xdr:nvPicPr>
        <xdr:cNvPr id="11" name="图片 10" descr="形状&#10;&#10;AI 生成的内容可能不正确。">
          <a:extLst>
            <a:ext uri="{FF2B5EF4-FFF2-40B4-BE49-F238E27FC236}">
              <a16:creationId xmlns:a16="http://schemas.microsoft.com/office/drawing/2014/main" id="{2271A512-93E7-F340-A8C4-33AD56376A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2208" y="3687345"/>
          <a:ext cx="243621" cy="242874"/>
        </a:xfrm>
        <a:prstGeom prst="rect">
          <a:avLst/>
        </a:prstGeom>
      </xdr:spPr>
    </xdr:pic>
    <xdr:clientData/>
  </xdr:twoCellAnchor>
  <xdr:twoCellAnchor editAs="oneCell">
    <xdr:from>
      <xdr:col>10</xdr:col>
      <xdr:colOff>2340</xdr:colOff>
      <xdr:row>19</xdr:row>
      <xdr:rowOff>158417</xdr:rowOff>
    </xdr:from>
    <xdr:to>
      <xdr:col>10</xdr:col>
      <xdr:colOff>245961</xdr:colOff>
      <xdr:row>21</xdr:row>
      <xdr:rowOff>33659</xdr:rowOff>
    </xdr:to>
    <xdr:pic>
      <xdr:nvPicPr>
        <xdr:cNvPr id="12" name="图片 11" descr="形状&#10;&#10;AI 生成的内容可能不正确。">
          <a:extLst>
            <a:ext uri="{FF2B5EF4-FFF2-40B4-BE49-F238E27FC236}">
              <a16:creationId xmlns:a16="http://schemas.microsoft.com/office/drawing/2014/main" id="{CA1B9C31-B4BC-F6E8-2429-FEF1743F4A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2208" y="3871496"/>
          <a:ext cx="243621" cy="242874"/>
        </a:xfrm>
        <a:prstGeom prst="rect">
          <a:avLst/>
        </a:prstGeom>
      </xdr:spPr>
    </xdr:pic>
    <xdr:clientData/>
  </xdr:twoCellAnchor>
  <xdr:twoCellAnchor editAs="oneCell">
    <xdr:from>
      <xdr:col>9</xdr:col>
      <xdr:colOff>965868</xdr:colOff>
      <xdr:row>28</xdr:row>
      <xdr:rowOff>164097</xdr:rowOff>
    </xdr:from>
    <xdr:to>
      <xdr:col>10</xdr:col>
      <xdr:colOff>243621</xdr:colOff>
      <xdr:row>30</xdr:row>
      <xdr:rowOff>39340</xdr:rowOff>
    </xdr:to>
    <xdr:pic>
      <xdr:nvPicPr>
        <xdr:cNvPr id="14" name="图片 13" descr="形状&#10;&#10;AI 生成的内容可能不正确。">
          <a:extLst>
            <a:ext uri="{FF2B5EF4-FFF2-40B4-BE49-F238E27FC236}">
              <a16:creationId xmlns:a16="http://schemas.microsoft.com/office/drawing/2014/main" id="{1B65345C-55BF-478C-832E-DC69143AF2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39868" y="5524834"/>
          <a:ext cx="243621" cy="242874"/>
        </a:xfrm>
        <a:prstGeom prst="rect">
          <a:avLst/>
        </a:prstGeom>
      </xdr:spPr>
    </xdr:pic>
    <xdr:clientData/>
  </xdr:twoCellAnchor>
  <xdr:twoCellAnchor editAs="oneCell">
    <xdr:from>
      <xdr:col>9</xdr:col>
      <xdr:colOff>965868</xdr:colOff>
      <xdr:row>30</xdr:row>
      <xdr:rowOff>164766</xdr:rowOff>
    </xdr:from>
    <xdr:to>
      <xdr:col>10</xdr:col>
      <xdr:colOff>243621</xdr:colOff>
      <xdr:row>32</xdr:row>
      <xdr:rowOff>40008</xdr:rowOff>
    </xdr:to>
    <xdr:pic>
      <xdr:nvPicPr>
        <xdr:cNvPr id="16" name="图片 15" descr="形状&#10;&#10;AI 生成的内容可能不正确。">
          <a:extLst>
            <a:ext uri="{FF2B5EF4-FFF2-40B4-BE49-F238E27FC236}">
              <a16:creationId xmlns:a16="http://schemas.microsoft.com/office/drawing/2014/main" id="{23D5E597-61E4-4218-8256-1603AB9FDF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39868" y="5893134"/>
          <a:ext cx="243621" cy="242874"/>
        </a:xfrm>
        <a:prstGeom prst="rect">
          <a:avLst/>
        </a:prstGeom>
      </xdr:spPr>
    </xdr:pic>
    <xdr:clientData/>
  </xdr:twoCellAnchor>
  <xdr:twoCellAnchor editAs="oneCell">
    <xdr:from>
      <xdr:col>9</xdr:col>
      <xdr:colOff>965868</xdr:colOff>
      <xdr:row>31</xdr:row>
      <xdr:rowOff>165100</xdr:rowOff>
    </xdr:from>
    <xdr:to>
      <xdr:col>10</xdr:col>
      <xdr:colOff>243621</xdr:colOff>
      <xdr:row>33</xdr:row>
      <xdr:rowOff>40342</xdr:rowOff>
    </xdr:to>
    <xdr:pic>
      <xdr:nvPicPr>
        <xdr:cNvPr id="17" name="图片 16" descr="形状&#10;&#10;AI 生成的内容可能不正确。">
          <a:extLst>
            <a:ext uri="{FF2B5EF4-FFF2-40B4-BE49-F238E27FC236}">
              <a16:creationId xmlns:a16="http://schemas.microsoft.com/office/drawing/2014/main" id="{FDF3E383-8038-4C66-AFAD-31321DE2B6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39868" y="6077284"/>
          <a:ext cx="243621" cy="242874"/>
        </a:xfrm>
        <a:prstGeom prst="rect">
          <a:avLst/>
        </a:prstGeom>
      </xdr:spPr>
    </xdr:pic>
    <xdr:clientData/>
  </xdr:twoCellAnchor>
  <xdr:twoCellAnchor editAs="oneCell">
    <xdr:from>
      <xdr:col>9</xdr:col>
      <xdr:colOff>965868</xdr:colOff>
      <xdr:row>32</xdr:row>
      <xdr:rowOff>165434</xdr:rowOff>
    </xdr:from>
    <xdr:to>
      <xdr:col>10</xdr:col>
      <xdr:colOff>243621</xdr:colOff>
      <xdr:row>34</xdr:row>
      <xdr:rowOff>40676</xdr:rowOff>
    </xdr:to>
    <xdr:pic>
      <xdr:nvPicPr>
        <xdr:cNvPr id="18" name="图片 17" descr="形状&#10;&#10;AI 生成的内容可能不正确。">
          <a:extLst>
            <a:ext uri="{FF2B5EF4-FFF2-40B4-BE49-F238E27FC236}">
              <a16:creationId xmlns:a16="http://schemas.microsoft.com/office/drawing/2014/main" id="{7E12B915-050F-4EA8-8E25-9021BB2877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39868" y="6261434"/>
          <a:ext cx="243621" cy="2428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350728</xdr:colOff>
      <xdr:row>6</xdr:row>
      <xdr:rowOff>12391</xdr:rowOff>
    </xdr:from>
    <xdr:to>
      <xdr:col>0</xdr:col>
      <xdr:colOff>535878</xdr:colOff>
      <xdr:row>7</xdr:row>
      <xdr:rowOff>6032</xdr:rowOff>
    </xdr:to>
    <xdr:pic>
      <xdr:nvPicPr>
        <xdr:cNvPr id="2" name="图片 1" descr="卡通人物&#10;&#10;AI 生成的内容可能不正确。">
          <a:extLst>
            <a:ext uri="{FF2B5EF4-FFF2-40B4-BE49-F238E27FC236}">
              <a16:creationId xmlns:a16="http://schemas.microsoft.com/office/drawing/2014/main" id="{F560030E-A699-4577-ABC4-85C103F4C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3041341"/>
          <a:ext cx="185150" cy="184142"/>
        </a:xfrm>
        <a:prstGeom prst="rect">
          <a:avLst/>
        </a:prstGeom>
      </xdr:spPr>
    </xdr:pic>
    <xdr:clientData/>
  </xdr:twoCellAnchor>
  <xdr:twoCellAnchor editAs="oneCell">
    <xdr:from>
      <xdr:col>0</xdr:col>
      <xdr:colOff>350728</xdr:colOff>
      <xdr:row>7</xdr:row>
      <xdr:rowOff>11915</xdr:rowOff>
    </xdr:from>
    <xdr:to>
      <xdr:col>0</xdr:col>
      <xdr:colOff>535878</xdr:colOff>
      <xdr:row>8</xdr:row>
      <xdr:rowOff>5556</xdr:rowOff>
    </xdr:to>
    <xdr:pic>
      <xdr:nvPicPr>
        <xdr:cNvPr id="3" name="图片 2" descr="卡通人物&#10;&#10;AI 生成的内容可能不正确。">
          <a:extLst>
            <a:ext uri="{FF2B5EF4-FFF2-40B4-BE49-F238E27FC236}">
              <a16:creationId xmlns:a16="http://schemas.microsoft.com/office/drawing/2014/main" id="{8E09F815-042C-47FF-B746-21D61A9606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3231365"/>
          <a:ext cx="185150" cy="184141"/>
        </a:xfrm>
        <a:prstGeom prst="rect">
          <a:avLst/>
        </a:prstGeom>
      </xdr:spPr>
    </xdr:pic>
    <xdr:clientData/>
  </xdr:twoCellAnchor>
  <xdr:twoCellAnchor editAs="oneCell">
    <xdr:from>
      <xdr:col>0</xdr:col>
      <xdr:colOff>350728</xdr:colOff>
      <xdr:row>8</xdr:row>
      <xdr:rowOff>11440</xdr:rowOff>
    </xdr:from>
    <xdr:to>
      <xdr:col>0</xdr:col>
      <xdr:colOff>535878</xdr:colOff>
      <xdr:row>9</xdr:row>
      <xdr:rowOff>5083</xdr:rowOff>
    </xdr:to>
    <xdr:pic>
      <xdr:nvPicPr>
        <xdr:cNvPr id="4" name="图片 3" descr="卡通人物&#10;&#10;AI 生成的内容可能不正确。">
          <a:extLst>
            <a:ext uri="{FF2B5EF4-FFF2-40B4-BE49-F238E27FC236}">
              <a16:creationId xmlns:a16="http://schemas.microsoft.com/office/drawing/2014/main" id="{742A33E3-228F-49C0-8A70-B4C9D56BDD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3421390"/>
          <a:ext cx="185150" cy="184141"/>
        </a:xfrm>
        <a:prstGeom prst="rect">
          <a:avLst/>
        </a:prstGeom>
      </xdr:spPr>
    </xdr:pic>
    <xdr:clientData/>
  </xdr:twoCellAnchor>
  <xdr:twoCellAnchor editAs="oneCell">
    <xdr:from>
      <xdr:col>0</xdr:col>
      <xdr:colOff>350728</xdr:colOff>
      <xdr:row>9</xdr:row>
      <xdr:rowOff>10964</xdr:rowOff>
    </xdr:from>
    <xdr:to>
      <xdr:col>0</xdr:col>
      <xdr:colOff>535878</xdr:colOff>
      <xdr:row>10</xdr:row>
      <xdr:rowOff>4603</xdr:rowOff>
    </xdr:to>
    <xdr:pic>
      <xdr:nvPicPr>
        <xdr:cNvPr id="5" name="图片 4" descr="卡通人物&#10;&#10;AI 生成的内容可能不正确。">
          <a:extLst>
            <a:ext uri="{FF2B5EF4-FFF2-40B4-BE49-F238E27FC236}">
              <a16:creationId xmlns:a16="http://schemas.microsoft.com/office/drawing/2014/main" id="{CC9A4DF0-A349-4776-BE61-C8C69A98B4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3611414"/>
          <a:ext cx="185150" cy="184141"/>
        </a:xfrm>
        <a:prstGeom prst="rect">
          <a:avLst/>
        </a:prstGeom>
      </xdr:spPr>
    </xdr:pic>
    <xdr:clientData/>
  </xdr:twoCellAnchor>
  <xdr:twoCellAnchor editAs="oneCell">
    <xdr:from>
      <xdr:col>0</xdr:col>
      <xdr:colOff>350728</xdr:colOff>
      <xdr:row>10</xdr:row>
      <xdr:rowOff>10488</xdr:rowOff>
    </xdr:from>
    <xdr:to>
      <xdr:col>0</xdr:col>
      <xdr:colOff>535878</xdr:colOff>
      <xdr:row>11</xdr:row>
      <xdr:rowOff>4130</xdr:rowOff>
    </xdr:to>
    <xdr:pic>
      <xdr:nvPicPr>
        <xdr:cNvPr id="6" name="图片 5" descr="卡通人物&#10;&#10;AI 生成的内容可能不正确。">
          <a:extLst>
            <a:ext uri="{FF2B5EF4-FFF2-40B4-BE49-F238E27FC236}">
              <a16:creationId xmlns:a16="http://schemas.microsoft.com/office/drawing/2014/main" id="{7634F2F4-8D26-4623-B78E-6B70180E21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3801438"/>
          <a:ext cx="185150" cy="184142"/>
        </a:xfrm>
        <a:prstGeom prst="rect">
          <a:avLst/>
        </a:prstGeom>
      </xdr:spPr>
    </xdr:pic>
    <xdr:clientData/>
  </xdr:twoCellAnchor>
  <xdr:twoCellAnchor editAs="oneCell">
    <xdr:from>
      <xdr:col>0</xdr:col>
      <xdr:colOff>350728</xdr:colOff>
      <xdr:row>11</xdr:row>
      <xdr:rowOff>10012</xdr:rowOff>
    </xdr:from>
    <xdr:to>
      <xdr:col>0</xdr:col>
      <xdr:colOff>535878</xdr:colOff>
      <xdr:row>12</xdr:row>
      <xdr:rowOff>3654</xdr:rowOff>
    </xdr:to>
    <xdr:pic>
      <xdr:nvPicPr>
        <xdr:cNvPr id="7" name="图片 6" descr="卡通人物&#10;&#10;AI 生成的内容可能不正确。">
          <a:extLst>
            <a:ext uri="{FF2B5EF4-FFF2-40B4-BE49-F238E27FC236}">
              <a16:creationId xmlns:a16="http://schemas.microsoft.com/office/drawing/2014/main" id="{389403DC-A69F-4C3D-A835-D60370DCC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3991462"/>
          <a:ext cx="185150" cy="184141"/>
        </a:xfrm>
        <a:prstGeom prst="rect">
          <a:avLst/>
        </a:prstGeom>
      </xdr:spPr>
    </xdr:pic>
    <xdr:clientData/>
  </xdr:twoCellAnchor>
  <xdr:twoCellAnchor editAs="oneCell">
    <xdr:from>
      <xdr:col>0</xdr:col>
      <xdr:colOff>350728</xdr:colOff>
      <xdr:row>12</xdr:row>
      <xdr:rowOff>9536</xdr:rowOff>
    </xdr:from>
    <xdr:to>
      <xdr:col>0</xdr:col>
      <xdr:colOff>535878</xdr:colOff>
      <xdr:row>13</xdr:row>
      <xdr:rowOff>3176</xdr:rowOff>
    </xdr:to>
    <xdr:pic>
      <xdr:nvPicPr>
        <xdr:cNvPr id="8" name="图片 7" descr="卡通人物&#10;&#10;AI 生成的内容可能不正确。">
          <a:extLst>
            <a:ext uri="{FF2B5EF4-FFF2-40B4-BE49-F238E27FC236}">
              <a16:creationId xmlns:a16="http://schemas.microsoft.com/office/drawing/2014/main" id="{023D75C4-DF49-4E23-BC63-26C8D80C56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4181486"/>
          <a:ext cx="185150" cy="184141"/>
        </a:xfrm>
        <a:prstGeom prst="rect">
          <a:avLst/>
        </a:prstGeom>
      </xdr:spPr>
    </xdr:pic>
    <xdr:clientData/>
  </xdr:twoCellAnchor>
  <xdr:twoCellAnchor editAs="oneCell">
    <xdr:from>
      <xdr:col>0</xdr:col>
      <xdr:colOff>350728</xdr:colOff>
      <xdr:row>13</xdr:row>
      <xdr:rowOff>9061</xdr:rowOff>
    </xdr:from>
    <xdr:to>
      <xdr:col>0</xdr:col>
      <xdr:colOff>535878</xdr:colOff>
      <xdr:row>14</xdr:row>
      <xdr:rowOff>2702</xdr:rowOff>
    </xdr:to>
    <xdr:pic>
      <xdr:nvPicPr>
        <xdr:cNvPr id="9" name="图片 8" descr="卡通人物&#10;&#10;AI 生成的内容可能不正确。">
          <a:extLst>
            <a:ext uri="{FF2B5EF4-FFF2-40B4-BE49-F238E27FC236}">
              <a16:creationId xmlns:a16="http://schemas.microsoft.com/office/drawing/2014/main" id="{050A61A4-FFAD-4784-B5A2-78B914AA90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4371511"/>
          <a:ext cx="185150" cy="184141"/>
        </a:xfrm>
        <a:prstGeom prst="rect">
          <a:avLst/>
        </a:prstGeom>
      </xdr:spPr>
    </xdr:pic>
    <xdr:clientData/>
  </xdr:twoCellAnchor>
  <xdr:twoCellAnchor editAs="oneCell">
    <xdr:from>
      <xdr:col>0</xdr:col>
      <xdr:colOff>350728</xdr:colOff>
      <xdr:row>14</xdr:row>
      <xdr:rowOff>8585</xdr:rowOff>
    </xdr:from>
    <xdr:to>
      <xdr:col>0</xdr:col>
      <xdr:colOff>535878</xdr:colOff>
      <xdr:row>15</xdr:row>
      <xdr:rowOff>2227</xdr:rowOff>
    </xdr:to>
    <xdr:pic>
      <xdr:nvPicPr>
        <xdr:cNvPr id="10" name="图片 9" descr="卡通人物&#10;&#10;AI 生成的内容可能不正确。">
          <a:extLst>
            <a:ext uri="{FF2B5EF4-FFF2-40B4-BE49-F238E27FC236}">
              <a16:creationId xmlns:a16="http://schemas.microsoft.com/office/drawing/2014/main" id="{1D98C89E-B718-4BE4-8C07-DB28E8A9E0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4561535"/>
          <a:ext cx="185150" cy="184141"/>
        </a:xfrm>
        <a:prstGeom prst="rect">
          <a:avLst/>
        </a:prstGeom>
      </xdr:spPr>
    </xdr:pic>
    <xdr:clientData/>
  </xdr:twoCellAnchor>
  <xdr:twoCellAnchor editAs="oneCell">
    <xdr:from>
      <xdr:col>0</xdr:col>
      <xdr:colOff>350728</xdr:colOff>
      <xdr:row>15</xdr:row>
      <xdr:rowOff>8109</xdr:rowOff>
    </xdr:from>
    <xdr:to>
      <xdr:col>0</xdr:col>
      <xdr:colOff>535878</xdr:colOff>
      <xdr:row>16</xdr:row>
      <xdr:rowOff>1750</xdr:rowOff>
    </xdr:to>
    <xdr:pic>
      <xdr:nvPicPr>
        <xdr:cNvPr id="11" name="图片 10" descr="卡通人物&#10;&#10;AI 生成的内容可能不正确。">
          <a:extLst>
            <a:ext uri="{FF2B5EF4-FFF2-40B4-BE49-F238E27FC236}">
              <a16:creationId xmlns:a16="http://schemas.microsoft.com/office/drawing/2014/main" id="{FCD397BD-C563-49B0-A078-27E5CC3C41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4751559"/>
          <a:ext cx="185150" cy="184142"/>
        </a:xfrm>
        <a:prstGeom prst="rect">
          <a:avLst/>
        </a:prstGeom>
      </xdr:spPr>
    </xdr:pic>
    <xdr:clientData/>
  </xdr:twoCellAnchor>
  <xdr:twoCellAnchor editAs="oneCell">
    <xdr:from>
      <xdr:col>0</xdr:col>
      <xdr:colOff>350728</xdr:colOff>
      <xdr:row>16</xdr:row>
      <xdr:rowOff>7633</xdr:rowOff>
    </xdr:from>
    <xdr:to>
      <xdr:col>0</xdr:col>
      <xdr:colOff>535878</xdr:colOff>
      <xdr:row>17</xdr:row>
      <xdr:rowOff>1275</xdr:rowOff>
    </xdr:to>
    <xdr:pic>
      <xdr:nvPicPr>
        <xdr:cNvPr id="12" name="图片 11" descr="卡通人物&#10;&#10;AI 生成的内容可能不正确。">
          <a:extLst>
            <a:ext uri="{FF2B5EF4-FFF2-40B4-BE49-F238E27FC236}">
              <a16:creationId xmlns:a16="http://schemas.microsoft.com/office/drawing/2014/main" id="{9D28BC9D-5D30-4F8A-B0E6-5D2A2B760C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4941583"/>
          <a:ext cx="185150" cy="184141"/>
        </a:xfrm>
        <a:prstGeom prst="rect">
          <a:avLst/>
        </a:prstGeom>
      </xdr:spPr>
    </xdr:pic>
    <xdr:clientData/>
  </xdr:twoCellAnchor>
  <xdr:twoCellAnchor editAs="oneCell">
    <xdr:from>
      <xdr:col>0</xdr:col>
      <xdr:colOff>350728</xdr:colOff>
      <xdr:row>17</xdr:row>
      <xdr:rowOff>7158</xdr:rowOff>
    </xdr:from>
    <xdr:to>
      <xdr:col>0</xdr:col>
      <xdr:colOff>535878</xdr:colOff>
      <xdr:row>17</xdr:row>
      <xdr:rowOff>190500</xdr:rowOff>
    </xdr:to>
    <xdr:pic>
      <xdr:nvPicPr>
        <xdr:cNvPr id="13" name="图片 12" descr="卡通人物&#10;&#10;AI 生成的内容可能不正确。">
          <a:extLst>
            <a:ext uri="{FF2B5EF4-FFF2-40B4-BE49-F238E27FC236}">
              <a16:creationId xmlns:a16="http://schemas.microsoft.com/office/drawing/2014/main" id="{11D91BF4-4630-4673-BA41-10182F8D84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5131608"/>
          <a:ext cx="185150" cy="183342"/>
        </a:xfrm>
        <a:prstGeom prst="rect">
          <a:avLst/>
        </a:prstGeom>
      </xdr:spPr>
    </xdr:pic>
    <xdr:clientData/>
  </xdr:twoCellAnchor>
  <xdr:twoCellAnchor editAs="oneCell">
    <xdr:from>
      <xdr:col>0</xdr:col>
      <xdr:colOff>350728</xdr:colOff>
      <xdr:row>18</xdr:row>
      <xdr:rowOff>6682</xdr:rowOff>
    </xdr:from>
    <xdr:to>
      <xdr:col>0</xdr:col>
      <xdr:colOff>535878</xdr:colOff>
      <xdr:row>19</xdr:row>
      <xdr:rowOff>322</xdr:rowOff>
    </xdr:to>
    <xdr:pic>
      <xdr:nvPicPr>
        <xdr:cNvPr id="14" name="图片 13" descr="卡通人物&#10;&#10;AI 生成的内容可能不正确。">
          <a:extLst>
            <a:ext uri="{FF2B5EF4-FFF2-40B4-BE49-F238E27FC236}">
              <a16:creationId xmlns:a16="http://schemas.microsoft.com/office/drawing/2014/main" id="{A48C6E3C-587A-43F6-B4CE-CA76274B68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5321632"/>
          <a:ext cx="185150" cy="184141"/>
        </a:xfrm>
        <a:prstGeom prst="rect">
          <a:avLst/>
        </a:prstGeom>
      </xdr:spPr>
    </xdr:pic>
    <xdr:clientData/>
  </xdr:twoCellAnchor>
  <xdr:twoCellAnchor editAs="oneCell">
    <xdr:from>
      <xdr:col>0</xdr:col>
      <xdr:colOff>350728</xdr:colOff>
      <xdr:row>19</xdr:row>
      <xdr:rowOff>6203</xdr:rowOff>
    </xdr:from>
    <xdr:to>
      <xdr:col>0</xdr:col>
      <xdr:colOff>535878</xdr:colOff>
      <xdr:row>19</xdr:row>
      <xdr:rowOff>190500</xdr:rowOff>
    </xdr:to>
    <xdr:pic>
      <xdr:nvPicPr>
        <xdr:cNvPr id="15" name="图片 14" descr="卡通人物&#10;&#10;AI 生成的内容可能不正确。">
          <a:extLst>
            <a:ext uri="{FF2B5EF4-FFF2-40B4-BE49-F238E27FC236}">
              <a16:creationId xmlns:a16="http://schemas.microsoft.com/office/drawing/2014/main" id="{FF05B81A-5E39-4679-B56F-CE0416BD73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50728" y="5511653"/>
          <a:ext cx="185150" cy="184297"/>
        </a:xfrm>
        <a:prstGeom prst="rect">
          <a:avLst/>
        </a:prstGeom>
      </xdr:spPr>
    </xdr:pic>
    <xdr:clientData/>
  </xdr:twoCellAnchor>
  <xdr:twoCellAnchor>
    <xdr:from>
      <xdr:col>0</xdr:col>
      <xdr:colOff>1242120</xdr:colOff>
      <xdr:row>5</xdr:row>
      <xdr:rowOff>99121</xdr:rowOff>
    </xdr:from>
    <xdr:to>
      <xdr:col>0</xdr:col>
      <xdr:colOff>2335559</xdr:colOff>
      <xdr:row>5</xdr:row>
      <xdr:rowOff>213731</xdr:rowOff>
    </xdr:to>
    <xdr:sp macro="" textlink="">
      <xdr:nvSpPr>
        <xdr:cNvPr id="16" name="箭头: 右 15">
          <a:extLst>
            <a:ext uri="{FF2B5EF4-FFF2-40B4-BE49-F238E27FC236}">
              <a16:creationId xmlns:a16="http://schemas.microsoft.com/office/drawing/2014/main" id="{DAA5D36E-E27B-47A4-88D3-B7F045C6A531}"/>
            </a:ext>
          </a:extLst>
        </xdr:cNvPr>
        <xdr:cNvSpPr/>
      </xdr:nvSpPr>
      <xdr:spPr>
        <a:xfrm flipH="1">
          <a:off x="1242120" y="2842321"/>
          <a:ext cx="1093439" cy="114610"/>
        </a:xfrm>
        <a:prstGeom prst="rightArrow">
          <a:avLst>
            <a:gd name="adj1" fmla="val 50000"/>
            <a:gd name="adj2" fmla="val 143617"/>
          </a:avLst>
        </a:prstGeom>
        <a:solidFill>
          <a:schemeClr val="accent2">
            <a:lumMod val="20000"/>
            <a:lumOff val="8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editAs="oneCell">
    <xdr:from>
      <xdr:col>29</xdr:col>
      <xdr:colOff>948765</xdr:colOff>
      <xdr:row>9</xdr:row>
      <xdr:rowOff>149412</xdr:rowOff>
    </xdr:from>
    <xdr:to>
      <xdr:col>30</xdr:col>
      <xdr:colOff>253722</xdr:colOff>
      <xdr:row>11</xdr:row>
      <xdr:rowOff>32952</xdr:rowOff>
    </xdr:to>
    <xdr:pic>
      <xdr:nvPicPr>
        <xdr:cNvPr id="17" name="图形 16">
          <a:extLst>
            <a:ext uri="{FF2B5EF4-FFF2-40B4-BE49-F238E27FC236}">
              <a16:creationId xmlns:a16="http://schemas.microsoft.com/office/drawing/2014/main" id="{5E97C29A-F202-4774-B221-5CFBB8FAE8F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402236" y="7171765"/>
          <a:ext cx="268662" cy="2720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5"/>
  <sheetViews>
    <sheetView zoomScale="130" zoomScaleNormal="130" workbookViewId="0">
      <selection activeCell="A11" sqref="A11:K11"/>
    </sheetView>
  </sheetViews>
  <sheetFormatPr defaultColWidth="9" defaultRowHeight="14"/>
  <cols>
    <col min="1" max="16384" width="9" style="20"/>
  </cols>
  <sheetData>
    <row r="1" spans="1:13">
      <c r="A1" s="21" t="s">
        <v>0</v>
      </c>
    </row>
    <row r="2" spans="1:13" ht="72" customHeight="1">
      <c r="A2" s="50" t="s">
        <v>1</v>
      </c>
      <c r="B2" s="50"/>
      <c r="C2" s="50"/>
      <c r="D2" s="50"/>
      <c r="E2" s="50"/>
      <c r="F2" s="50"/>
      <c r="G2" s="50"/>
      <c r="H2" s="50"/>
      <c r="I2" s="50"/>
      <c r="J2" s="50"/>
      <c r="K2" s="50"/>
    </row>
    <row r="3" spans="1:13" ht="32.5" customHeight="1">
      <c r="A3" s="51" t="s">
        <v>47</v>
      </c>
      <c r="B3" s="51"/>
      <c r="C3" s="51"/>
      <c r="D3" s="51"/>
      <c r="E3" s="51"/>
      <c r="F3" s="51"/>
      <c r="G3" s="51"/>
      <c r="H3" s="51"/>
      <c r="I3" s="51"/>
      <c r="J3" s="51"/>
      <c r="K3" s="51"/>
    </row>
    <row r="4" spans="1:13" ht="20" customHeight="1">
      <c r="A4" s="52"/>
      <c r="B4" s="53"/>
      <c r="C4" s="53"/>
      <c r="D4" s="53"/>
      <c r="E4" s="53"/>
      <c r="F4" s="53"/>
      <c r="G4" s="53"/>
      <c r="H4" s="53"/>
      <c r="I4" s="53"/>
      <c r="J4" s="53"/>
      <c r="K4" s="53"/>
      <c r="M4" s="28"/>
    </row>
    <row r="5" spans="1:13">
      <c r="A5" s="22" t="s">
        <v>2</v>
      </c>
      <c r="B5" s="23"/>
      <c r="C5" s="23"/>
      <c r="D5" s="23"/>
      <c r="E5" s="23"/>
      <c r="F5" s="23"/>
      <c r="G5" s="23"/>
      <c r="H5" s="23"/>
      <c r="I5" s="23"/>
      <c r="J5" s="23"/>
      <c r="K5" s="27"/>
    </row>
    <row r="6" spans="1:13" ht="85.5" customHeight="1">
      <c r="A6" s="54" t="s">
        <v>3</v>
      </c>
      <c r="B6" s="55"/>
      <c r="C6" s="55"/>
      <c r="D6" s="55"/>
      <c r="E6" s="55"/>
      <c r="F6" s="55"/>
      <c r="G6" s="55"/>
      <c r="H6" s="55"/>
      <c r="I6" s="55"/>
      <c r="J6" s="55"/>
      <c r="K6" s="56"/>
    </row>
    <row r="7" spans="1:13">
      <c r="A7" s="24" t="s">
        <v>4</v>
      </c>
    </row>
    <row r="8" spans="1:13">
      <c r="A8" s="10" t="s">
        <v>5</v>
      </c>
      <c r="B8" s="10">
        <v>1</v>
      </c>
      <c r="C8" s="11">
        <v>2</v>
      </c>
      <c r="D8" s="12">
        <v>3</v>
      </c>
      <c r="E8" s="13">
        <v>4</v>
      </c>
      <c r="F8" s="14">
        <v>5</v>
      </c>
      <c r="G8" s="15">
        <v>6</v>
      </c>
      <c r="H8" s="16">
        <v>7</v>
      </c>
      <c r="I8" s="17">
        <v>8</v>
      </c>
      <c r="J8" s="18">
        <v>9</v>
      </c>
      <c r="K8" s="19">
        <v>10</v>
      </c>
    </row>
    <row r="9" spans="1:13">
      <c r="A9" s="10" t="s">
        <v>6</v>
      </c>
      <c r="B9" s="10" t="s">
        <v>7</v>
      </c>
      <c r="C9" s="11" t="s">
        <v>8</v>
      </c>
      <c r="D9" s="12" t="s">
        <v>9</v>
      </c>
      <c r="E9" s="13" t="s">
        <v>10</v>
      </c>
      <c r="F9" s="14" t="s">
        <v>11</v>
      </c>
      <c r="G9" s="15" t="s">
        <v>12</v>
      </c>
      <c r="H9" s="16" t="s">
        <v>13</v>
      </c>
      <c r="I9" s="17" t="s">
        <v>14</v>
      </c>
      <c r="J9" s="18" t="s">
        <v>15</v>
      </c>
      <c r="K9" s="19" t="s">
        <v>16</v>
      </c>
    </row>
    <row r="10" spans="1:13">
      <c r="A10" s="25" t="s">
        <v>17</v>
      </c>
    </row>
    <row r="11" spans="1:13" ht="127" customHeight="1">
      <c r="A11" s="49" t="s">
        <v>18</v>
      </c>
      <c r="B11" s="49"/>
      <c r="C11" s="49"/>
      <c r="D11" s="49"/>
      <c r="E11" s="49"/>
      <c r="F11" s="49"/>
      <c r="G11" s="49"/>
      <c r="H11" s="49"/>
      <c r="I11" s="49"/>
      <c r="J11" s="49"/>
      <c r="K11" s="49"/>
    </row>
    <row r="12" spans="1:13">
      <c r="A12" s="25" t="s">
        <v>19</v>
      </c>
    </row>
    <row r="13" spans="1:13" ht="91.5" customHeight="1">
      <c r="A13" s="49" t="s">
        <v>20</v>
      </c>
      <c r="B13" s="49"/>
      <c r="C13" s="49"/>
      <c r="D13" s="49"/>
      <c r="E13" s="49"/>
      <c r="F13" s="49"/>
      <c r="G13" s="49"/>
      <c r="H13" s="49"/>
      <c r="I13" s="49"/>
      <c r="J13" s="49"/>
      <c r="K13" s="49"/>
    </row>
    <row r="15" spans="1:13">
      <c r="B15" s="26"/>
    </row>
  </sheetData>
  <mergeCells count="6">
    <mergeCell ref="A13:K13"/>
    <mergeCell ref="A2:K2"/>
    <mergeCell ref="A3:K3"/>
    <mergeCell ref="A4:K4"/>
    <mergeCell ref="A6:K6"/>
    <mergeCell ref="A11:K11"/>
  </mergeCells>
  <phoneticPr fontId="12"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9"/>
  <dimension ref="A1:M57"/>
  <sheetViews>
    <sheetView tabSelected="1" topLeftCell="B12" zoomScale="115" zoomScaleNormal="115" workbookViewId="0">
      <selection activeCell="J28" sqref="J28"/>
    </sheetView>
  </sheetViews>
  <sheetFormatPr defaultColWidth="9" defaultRowHeight="14"/>
  <cols>
    <col min="1" max="1" width="17.08203125" customWidth="1"/>
    <col min="2" max="3" width="4.83203125" customWidth="1"/>
    <col min="4" max="4" width="19.5" customWidth="1"/>
    <col min="5" max="5" width="21.08203125" customWidth="1"/>
    <col min="10" max="10" width="12.6640625" customWidth="1"/>
    <col min="13" max="13" width="47.58203125" customWidth="1"/>
  </cols>
  <sheetData>
    <row r="1" spans="1:13">
      <c r="A1" s="1" t="s">
        <v>6</v>
      </c>
      <c r="B1" s="2">
        <v>2</v>
      </c>
      <c r="I1" s="40" t="s">
        <v>67</v>
      </c>
    </row>
    <row r="2" spans="1:13">
      <c r="A2" s="1" t="str">
        <f>REPT("☆",B1)</f>
        <v>☆☆</v>
      </c>
      <c r="I2" s="57" t="s">
        <v>68</v>
      </c>
      <c r="J2" s="57"/>
      <c r="K2" s="57"/>
      <c r="L2" s="57"/>
      <c r="M2" s="57"/>
    </row>
    <row r="3" spans="1:13">
      <c r="A3" s="1" t="s">
        <v>21</v>
      </c>
      <c r="I3" s="57"/>
      <c r="J3" s="57"/>
      <c r="K3" s="57"/>
      <c r="L3" s="57"/>
      <c r="M3" s="57"/>
    </row>
    <row r="4" spans="1:13" ht="34" customHeight="1">
      <c r="A4" s="3" t="s">
        <v>29</v>
      </c>
      <c r="I4" s="57"/>
      <c r="J4" s="57"/>
      <c r="K4" s="57"/>
      <c r="L4" s="57"/>
      <c r="M4" s="57"/>
    </row>
    <row r="5" spans="1:13">
      <c r="A5" s="4" t="s">
        <v>26</v>
      </c>
      <c r="D5" s="4" t="s">
        <v>22</v>
      </c>
      <c r="E5" s="4" t="s">
        <v>23</v>
      </c>
      <c r="F5" s="4" t="s">
        <v>24</v>
      </c>
      <c r="G5" s="4" t="s">
        <v>25</v>
      </c>
      <c r="I5" s="58"/>
      <c r="J5" s="58"/>
      <c r="K5" s="58"/>
      <c r="L5" s="58"/>
      <c r="M5" s="58"/>
    </row>
    <row r="6" spans="1:13" ht="14.5">
      <c r="A6" s="8" t="s">
        <v>30</v>
      </c>
      <c r="D6" s="6" t="s">
        <v>31</v>
      </c>
      <c r="E6" s="7" t="str">
        <f>_xlfn.REGEXREPLACE(A6,"\pl","$0$0")</f>
        <v>AABBCCDDEEFFGG</v>
      </c>
      <c r="F6" s="5" t="b">
        <f>E6=D6</f>
        <v>1</v>
      </c>
      <c r="G6" s="5">
        <f ca="1">LEN(_xlfn.FORMULATEXT(E6))</f>
        <v>30</v>
      </c>
      <c r="I6" s="59" t="s">
        <v>69</v>
      </c>
      <c r="J6" s="60"/>
      <c r="K6" s="60"/>
      <c r="L6" s="60"/>
      <c r="M6" s="61"/>
    </row>
    <row r="7" spans="1:13" ht="14.5">
      <c r="A7" s="8" t="s">
        <v>32</v>
      </c>
      <c r="D7" s="6" t="s">
        <v>33</v>
      </c>
      <c r="E7" s="7" t="str">
        <f t="shared" ref="E7:E15" si="0">_xlfn.REGEXREPLACE(A7,"\pl","$0$0")</f>
        <v>1zz2YY3xx4WW5</v>
      </c>
      <c r="F7" s="5" t="b">
        <f t="shared" ref="F7:F15" si="1">E7=D7</f>
        <v>1</v>
      </c>
      <c r="I7" s="41" t="s">
        <v>70</v>
      </c>
      <c r="J7" s="41" t="s">
        <v>71</v>
      </c>
      <c r="K7" s="41" t="s">
        <v>72</v>
      </c>
      <c r="L7" s="41" t="s">
        <v>73</v>
      </c>
      <c r="M7" s="41" t="s">
        <v>74</v>
      </c>
    </row>
    <row r="8" spans="1:13" ht="14.5">
      <c r="A8" s="8" t="s">
        <v>34</v>
      </c>
      <c r="D8" s="6" t="s">
        <v>34</v>
      </c>
      <c r="E8" s="7" t="str">
        <f t="shared" si="0"/>
        <v>987-65</v>
      </c>
      <c r="F8" s="5" t="b">
        <f t="shared" si="1"/>
        <v>1</v>
      </c>
      <c r="I8" s="42" t="s">
        <v>75</v>
      </c>
      <c r="J8" s="42" t="s">
        <v>76</v>
      </c>
      <c r="K8" s="42">
        <v>30</v>
      </c>
      <c r="L8" s="42" t="s">
        <v>77</v>
      </c>
      <c r="M8" s="43" t="s">
        <v>78</v>
      </c>
    </row>
    <row r="9" spans="1:13" ht="14.5">
      <c r="A9" s="8" t="s">
        <v>35</v>
      </c>
      <c r="D9" s="6" t="s">
        <v>36</v>
      </c>
      <c r="E9" s="7" t="str">
        <f t="shared" si="0"/>
        <v>ddaayy ddaayy uupp</v>
      </c>
      <c r="F9" s="5" t="b">
        <f t="shared" si="1"/>
        <v>1</v>
      </c>
      <c r="I9" s="42" t="s">
        <v>75</v>
      </c>
      <c r="J9" s="42" t="s">
        <v>76</v>
      </c>
      <c r="K9" s="42">
        <v>28</v>
      </c>
      <c r="L9" s="42" t="s">
        <v>79</v>
      </c>
      <c r="M9" s="43" t="s">
        <v>80</v>
      </c>
    </row>
    <row r="10" spans="1:13" ht="14.5">
      <c r="A10" s="9" t="s">
        <v>37</v>
      </c>
      <c r="D10" s="6" t="s">
        <v>38</v>
      </c>
      <c r="E10" s="7" t="str">
        <f t="shared" si="0"/>
        <v>CChhrriissmmaass</v>
      </c>
      <c r="F10" s="5" t="b">
        <f t="shared" si="1"/>
        <v>1</v>
      </c>
      <c r="I10" s="42"/>
      <c r="J10" s="42"/>
      <c r="K10" s="42"/>
      <c r="L10" s="42"/>
      <c r="M10" s="44"/>
    </row>
    <row r="11" spans="1:13" ht="14.5">
      <c r="A11" s="8" t="s">
        <v>28</v>
      </c>
      <c r="D11" s="6" t="s">
        <v>27</v>
      </c>
      <c r="E11" s="7" t="str">
        <f t="shared" si="0"/>
        <v>QQ</v>
      </c>
      <c r="F11" s="5" t="b">
        <f t="shared" si="1"/>
        <v>1</v>
      </c>
      <c r="I11" s="42" t="s">
        <v>75</v>
      </c>
      <c r="J11" s="42" t="s">
        <v>81</v>
      </c>
      <c r="K11" s="42">
        <v>30</v>
      </c>
      <c r="L11" s="42" t="s">
        <v>77</v>
      </c>
      <c r="M11" s="44" t="s">
        <v>82</v>
      </c>
    </row>
    <row r="12" spans="1:13" ht="14.5">
      <c r="A12" s="8" t="s">
        <v>39</v>
      </c>
      <c r="D12" s="6" t="s">
        <v>44</v>
      </c>
      <c r="E12" s="7" t="str">
        <f t="shared" si="0"/>
        <v>BBuubbbbllee BBoopp</v>
      </c>
      <c r="F12" s="5" t="b">
        <f t="shared" si="1"/>
        <v>1</v>
      </c>
      <c r="I12" s="42" t="s">
        <v>75</v>
      </c>
      <c r="J12" s="42" t="s">
        <v>83</v>
      </c>
      <c r="K12" s="42">
        <v>30</v>
      </c>
      <c r="L12" s="42" t="s">
        <v>77</v>
      </c>
      <c r="M12" s="44" t="s">
        <v>82</v>
      </c>
    </row>
    <row r="13" spans="1:13" ht="14.5">
      <c r="A13" s="8" t="s">
        <v>40</v>
      </c>
      <c r="D13" s="6" t="s">
        <v>45</v>
      </c>
      <c r="E13" s="7" t="str">
        <f t="shared" si="0"/>
        <v>MMPP4</v>
      </c>
      <c r="F13" s="5" t="b">
        <f t="shared" si="1"/>
        <v>1</v>
      </c>
      <c r="I13" s="42" t="s">
        <v>75</v>
      </c>
      <c r="J13" s="42" t="s">
        <v>84</v>
      </c>
      <c r="K13" s="42">
        <v>30</v>
      </c>
      <c r="L13" s="42" t="s">
        <v>77</v>
      </c>
      <c r="M13" s="44" t="s">
        <v>85</v>
      </c>
    </row>
    <row r="14" spans="1:13" ht="14.5">
      <c r="A14" s="8" t="s">
        <v>41</v>
      </c>
      <c r="D14" s="6" t="s">
        <v>46</v>
      </c>
      <c r="E14" s="7" t="str">
        <f t="shared" si="0"/>
        <v>DDoonn'tt!</v>
      </c>
      <c r="F14" s="5" t="b">
        <f t="shared" si="1"/>
        <v>1</v>
      </c>
      <c r="I14" s="42" t="s">
        <v>75</v>
      </c>
      <c r="J14" s="42" t="s">
        <v>86</v>
      </c>
      <c r="K14" s="42">
        <v>30</v>
      </c>
      <c r="L14" s="42" t="s">
        <v>77</v>
      </c>
      <c r="M14" s="44" t="s">
        <v>82</v>
      </c>
    </row>
    <row r="15" spans="1:13" ht="14.5">
      <c r="A15" s="8" t="s">
        <v>43</v>
      </c>
      <c r="D15" s="6" t="s">
        <v>42</v>
      </c>
      <c r="E15" s="7" t="str">
        <f t="shared" si="0"/>
        <v>(010)10086</v>
      </c>
      <c r="F15" s="5" t="b">
        <f t="shared" si="1"/>
        <v>1</v>
      </c>
      <c r="I15" s="42" t="s">
        <v>75</v>
      </c>
      <c r="J15" s="42" t="s">
        <v>87</v>
      </c>
      <c r="K15" s="42">
        <v>30</v>
      </c>
      <c r="L15" s="42" t="s">
        <v>77</v>
      </c>
      <c r="M15" s="44" t="s">
        <v>85</v>
      </c>
    </row>
    <row r="16" spans="1:13" ht="14.5">
      <c r="I16" s="42" t="s">
        <v>75</v>
      </c>
      <c r="J16" s="42" t="s">
        <v>88</v>
      </c>
      <c r="K16" s="42">
        <v>30</v>
      </c>
      <c r="L16" s="42" t="s">
        <v>77</v>
      </c>
      <c r="M16" s="44" t="s">
        <v>78</v>
      </c>
    </row>
    <row r="17" spans="9:13" ht="14.5">
      <c r="I17" s="42" t="s">
        <v>75</v>
      </c>
      <c r="J17" s="42" t="s">
        <v>89</v>
      </c>
      <c r="K17" s="42">
        <v>30</v>
      </c>
      <c r="L17" s="42" t="s">
        <v>77</v>
      </c>
      <c r="M17" s="44" t="s">
        <v>78</v>
      </c>
    </row>
    <row r="18" spans="9:13" ht="14.5">
      <c r="I18" s="42" t="s">
        <v>75</v>
      </c>
      <c r="J18" s="42" t="s">
        <v>90</v>
      </c>
      <c r="K18" s="42">
        <v>30</v>
      </c>
      <c r="L18" s="42" t="s">
        <v>77</v>
      </c>
      <c r="M18" s="44" t="s">
        <v>78</v>
      </c>
    </row>
    <row r="19" spans="9:13" ht="14.5">
      <c r="I19" s="42" t="s">
        <v>75</v>
      </c>
      <c r="J19" s="42" t="s">
        <v>91</v>
      </c>
      <c r="K19" s="42">
        <v>30</v>
      </c>
      <c r="L19" s="42" t="s">
        <v>77</v>
      </c>
      <c r="M19" s="44" t="s">
        <v>85</v>
      </c>
    </row>
    <row r="20" spans="9:13" ht="14.5">
      <c r="I20" s="42" t="s">
        <v>75</v>
      </c>
      <c r="J20" s="42" t="s">
        <v>92</v>
      </c>
      <c r="K20" s="42">
        <v>30</v>
      </c>
      <c r="L20" s="42" t="s">
        <v>77</v>
      </c>
      <c r="M20" s="44" t="s">
        <v>85</v>
      </c>
    </row>
    <row r="21" spans="9:13" ht="14.5">
      <c r="I21" s="42" t="s">
        <v>75</v>
      </c>
      <c r="J21" s="42" t="s">
        <v>93</v>
      </c>
      <c r="K21" s="42">
        <v>30</v>
      </c>
      <c r="L21" s="42" t="s">
        <v>77</v>
      </c>
      <c r="M21" s="44" t="s">
        <v>78</v>
      </c>
    </row>
    <row r="22" spans="9:13" ht="14.5">
      <c r="I22" s="42" t="s">
        <v>75</v>
      </c>
      <c r="J22" s="42" t="s">
        <v>89</v>
      </c>
      <c r="K22" s="42">
        <v>32</v>
      </c>
      <c r="L22" s="42" t="s">
        <v>77</v>
      </c>
      <c r="M22" s="44" t="s">
        <v>94</v>
      </c>
    </row>
    <row r="23" spans="9:13" ht="14.5">
      <c r="I23" s="42" t="s">
        <v>75</v>
      </c>
      <c r="J23" s="42" t="s">
        <v>95</v>
      </c>
      <c r="K23" s="42">
        <v>32</v>
      </c>
      <c r="L23" s="42" t="s">
        <v>77</v>
      </c>
      <c r="M23" s="44" t="s">
        <v>94</v>
      </c>
    </row>
    <row r="24" spans="9:13" ht="14.5">
      <c r="I24" s="42" t="s">
        <v>75</v>
      </c>
      <c r="J24" s="42" t="s">
        <v>96</v>
      </c>
      <c r="K24" s="42">
        <v>32</v>
      </c>
      <c r="L24" s="42" t="s">
        <v>77</v>
      </c>
      <c r="M24" s="44" t="s">
        <v>97</v>
      </c>
    </row>
    <row r="25" spans="9:13" ht="14.5">
      <c r="I25" s="42" t="s">
        <v>75</v>
      </c>
      <c r="J25" s="42" t="s">
        <v>96</v>
      </c>
      <c r="K25" s="42">
        <v>34</v>
      </c>
      <c r="L25" s="42" t="s">
        <v>77</v>
      </c>
      <c r="M25" s="44" t="s">
        <v>98</v>
      </c>
    </row>
    <row r="26" spans="9:13" ht="14.5">
      <c r="I26" s="42" t="s">
        <v>75</v>
      </c>
      <c r="J26" s="42" t="s">
        <v>99</v>
      </c>
      <c r="K26" s="42">
        <v>35</v>
      </c>
      <c r="L26" s="42" t="s">
        <v>77</v>
      </c>
      <c r="M26" s="44" t="s">
        <v>100</v>
      </c>
    </row>
    <row r="27" spans="9:13" ht="14.5">
      <c r="I27" s="42" t="s">
        <v>75</v>
      </c>
      <c r="J27" s="42" t="s">
        <v>88</v>
      </c>
      <c r="K27" s="42">
        <v>48</v>
      </c>
      <c r="L27" s="42" t="s">
        <v>77</v>
      </c>
      <c r="M27" s="44" t="s">
        <v>101</v>
      </c>
    </row>
    <row r="29" spans="9:13" ht="14.5">
      <c r="I29" s="42" t="s">
        <v>75</v>
      </c>
      <c r="J29" s="42" t="s">
        <v>81</v>
      </c>
      <c r="K29" s="42">
        <v>28</v>
      </c>
      <c r="L29" s="42" t="s">
        <v>79</v>
      </c>
      <c r="M29" s="44" t="s">
        <v>80</v>
      </c>
    </row>
    <row r="30" spans="9:13" ht="14.5">
      <c r="I30" s="42" t="s">
        <v>75</v>
      </c>
      <c r="J30" s="42" t="s">
        <v>102</v>
      </c>
      <c r="K30" s="42">
        <v>28</v>
      </c>
      <c r="L30" s="42" t="s">
        <v>79</v>
      </c>
      <c r="M30" s="44" t="s">
        <v>80</v>
      </c>
    </row>
    <row r="31" spans="9:13" ht="14.5">
      <c r="I31" s="42" t="s">
        <v>75</v>
      </c>
      <c r="J31" s="42" t="s">
        <v>84</v>
      </c>
      <c r="K31" s="42">
        <v>28</v>
      </c>
      <c r="L31" s="42" t="s">
        <v>79</v>
      </c>
      <c r="M31" s="44" t="s">
        <v>103</v>
      </c>
    </row>
    <row r="32" spans="9:13" ht="14.5">
      <c r="I32" s="42" t="s">
        <v>75</v>
      </c>
      <c r="J32" s="42" t="s">
        <v>104</v>
      </c>
      <c r="K32" s="42">
        <v>28</v>
      </c>
      <c r="L32" s="42" t="s">
        <v>79</v>
      </c>
      <c r="M32" s="44" t="s">
        <v>80</v>
      </c>
    </row>
    <row r="33" spans="9:13" ht="14.5">
      <c r="I33" s="42" t="s">
        <v>75</v>
      </c>
      <c r="J33" s="42" t="s">
        <v>96</v>
      </c>
      <c r="K33" s="42">
        <v>28</v>
      </c>
      <c r="L33" s="42" t="s">
        <v>79</v>
      </c>
      <c r="M33" s="44" t="s">
        <v>80</v>
      </c>
    </row>
    <row r="34" spans="9:13" ht="14.5">
      <c r="I34" s="42" t="s">
        <v>75</v>
      </c>
      <c r="J34" s="42" t="s">
        <v>105</v>
      </c>
      <c r="K34" s="42">
        <v>28</v>
      </c>
      <c r="L34" s="42" t="s">
        <v>79</v>
      </c>
      <c r="M34" s="44" t="s">
        <v>80</v>
      </c>
    </row>
    <row r="35" spans="9:13" ht="14.5">
      <c r="I35" s="42" t="s">
        <v>75</v>
      </c>
      <c r="J35" s="42" t="s">
        <v>88</v>
      </c>
      <c r="K35" s="42">
        <v>28</v>
      </c>
      <c r="L35" s="42" t="s">
        <v>79</v>
      </c>
      <c r="M35" s="44" t="s">
        <v>80</v>
      </c>
    </row>
    <row r="36" spans="9:13" ht="14.5">
      <c r="I36" s="42" t="s">
        <v>75</v>
      </c>
      <c r="J36" s="42" t="s">
        <v>106</v>
      </c>
      <c r="K36" s="42">
        <v>30</v>
      </c>
      <c r="L36" s="42" t="s">
        <v>79</v>
      </c>
      <c r="M36" s="44" t="s">
        <v>107</v>
      </c>
    </row>
    <row r="37" spans="9:13" ht="14.5">
      <c r="I37" s="42" t="s">
        <v>75</v>
      </c>
      <c r="J37" s="42" t="s">
        <v>108</v>
      </c>
      <c r="K37" s="42">
        <v>30</v>
      </c>
      <c r="L37" s="42" t="s">
        <v>79</v>
      </c>
      <c r="M37" s="44" t="s">
        <v>107</v>
      </c>
    </row>
    <row r="38" spans="9:13" ht="14.5">
      <c r="I38" s="42" t="s">
        <v>75</v>
      </c>
      <c r="J38" s="42" t="s">
        <v>109</v>
      </c>
      <c r="K38" s="42">
        <v>30</v>
      </c>
      <c r="L38" s="42" t="s">
        <v>79</v>
      </c>
      <c r="M38" s="44" t="s">
        <v>107</v>
      </c>
    </row>
    <row r="39" spans="9:13" ht="14.5">
      <c r="I39" s="42" t="s">
        <v>75</v>
      </c>
      <c r="J39" s="42" t="s">
        <v>110</v>
      </c>
      <c r="K39" s="42">
        <v>30</v>
      </c>
      <c r="L39" s="42" t="s">
        <v>79</v>
      </c>
      <c r="M39" s="44" t="s">
        <v>107</v>
      </c>
    </row>
    <row r="40" spans="9:13" ht="14.5">
      <c r="I40" s="42" t="s">
        <v>75</v>
      </c>
      <c r="J40" s="42" t="s">
        <v>111</v>
      </c>
      <c r="K40" s="42">
        <v>30</v>
      </c>
      <c r="L40" s="42" t="s">
        <v>79</v>
      </c>
      <c r="M40" s="44" t="s">
        <v>107</v>
      </c>
    </row>
    <row r="41" spans="9:13" ht="14.5">
      <c r="I41" s="42" t="s">
        <v>75</v>
      </c>
      <c r="J41" s="42" t="s">
        <v>112</v>
      </c>
      <c r="K41" s="42">
        <v>30</v>
      </c>
      <c r="L41" s="42" t="s">
        <v>79</v>
      </c>
      <c r="M41" s="44" t="s">
        <v>107</v>
      </c>
    </row>
    <row r="42" spans="9:13" ht="14.5">
      <c r="I42" s="42" t="s">
        <v>75</v>
      </c>
      <c r="J42" s="42" t="s">
        <v>113</v>
      </c>
      <c r="K42" s="42">
        <v>30</v>
      </c>
      <c r="L42" s="42" t="s">
        <v>79</v>
      </c>
      <c r="M42" s="44" t="s">
        <v>107</v>
      </c>
    </row>
    <row r="43" spans="9:13" ht="14.5">
      <c r="I43" s="42" t="s">
        <v>75</v>
      </c>
      <c r="J43" s="42" t="s">
        <v>96</v>
      </c>
      <c r="K43" s="42">
        <v>30</v>
      </c>
      <c r="L43" s="42" t="s">
        <v>79</v>
      </c>
      <c r="M43" s="44" t="s">
        <v>107</v>
      </c>
    </row>
    <row r="44" spans="9:13" ht="14.5">
      <c r="I44" s="42" t="s">
        <v>75</v>
      </c>
      <c r="J44" s="42" t="s">
        <v>96</v>
      </c>
      <c r="K44" s="42">
        <v>30</v>
      </c>
      <c r="L44" s="42" t="s">
        <v>79</v>
      </c>
      <c r="M44" s="44" t="s">
        <v>114</v>
      </c>
    </row>
    <row r="45" spans="9:13" ht="14.5">
      <c r="I45" s="42" t="s">
        <v>75</v>
      </c>
      <c r="J45" s="42" t="s">
        <v>115</v>
      </c>
      <c r="K45" s="42">
        <v>30</v>
      </c>
      <c r="L45" s="42" t="s">
        <v>79</v>
      </c>
      <c r="M45" s="44" t="s">
        <v>114</v>
      </c>
    </row>
    <row r="46" spans="9:13" ht="14.5">
      <c r="I46" s="42" t="s">
        <v>75</v>
      </c>
      <c r="J46" s="42" t="s">
        <v>116</v>
      </c>
      <c r="K46" s="42">
        <v>30</v>
      </c>
      <c r="L46" s="42" t="s">
        <v>79</v>
      </c>
      <c r="M46" s="44" t="s">
        <v>114</v>
      </c>
    </row>
    <row r="47" spans="9:13" ht="14.5">
      <c r="I47" s="42" t="s">
        <v>75</v>
      </c>
      <c r="J47" s="42" t="s">
        <v>105</v>
      </c>
      <c r="K47" s="42">
        <v>30</v>
      </c>
      <c r="L47" s="42" t="s">
        <v>79</v>
      </c>
      <c r="M47" s="44" t="s">
        <v>114</v>
      </c>
    </row>
    <row r="48" spans="9:13" ht="14.5">
      <c r="I48" s="42" t="s">
        <v>75</v>
      </c>
      <c r="J48" s="42" t="s">
        <v>117</v>
      </c>
      <c r="K48" s="42">
        <v>30</v>
      </c>
      <c r="L48" s="42" t="s">
        <v>79</v>
      </c>
      <c r="M48" s="44" t="s">
        <v>107</v>
      </c>
    </row>
    <row r="49" spans="9:13" ht="14.5">
      <c r="I49" s="42" t="s">
        <v>75</v>
      </c>
      <c r="J49" s="42" t="s">
        <v>118</v>
      </c>
      <c r="K49" s="42">
        <v>30</v>
      </c>
      <c r="L49" s="42" t="s">
        <v>79</v>
      </c>
      <c r="M49" s="44" t="s">
        <v>107</v>
      </c>
    </row>
    <row r="50" spans="9:13" ht="14.5">
      <c r="I50" s="42" t="s">
        <v>75</v>
      </c>
      <c r="J50" s="42" t="s">
        <v>108</v>
      </c>
      <c r="K50" s="42">
        <v>33</v>
      </c>
      <c r="L50" s="42" t="s">
        <v>79</v>
      </c>
      <c r="M50" s="44" t="s">
        <v>119</v>
      </c>
    </row>
    <row r="51" spans="9:13" ht="14.5">
      <c r="I51" s="42" t="s">
        <v>75</v>
      </c>
      <c r="J51" s="42" t="s">
        <v>120</v>
      </c>
      <c r="K51" s="42">
        <v>33</v>
      </c>
      <c r="L51" s="42" t="s">
        <v>79</v>
      </c>
      <c r="M51" s="44" t="s">
        <v>121</v>
      </c>
    </row>
    <row r="52" spans="9:13" ht="14.5">
      <c r="I52" s="42" t="s">
        <v>75</v>
      </c>
      <c r="J52" s="42" t="s">
        <v>110</v>
      </c>
      <c r="K52" s="42">
        <v>33</v>
      </c>
      <c r="L52" s="42" t="s">
        <v>79</v>
      </c>
      <c r="M52" s="44" t="s">
        <v>121</v>
      </c>
    </row>
    <row r="53" spans="9:13" ht="14.5">
      <c r="I53" s="42" t="s">
        <v>75</v>
      </c>
      <c r="J53" s="42" t="s">
        <v>122</v>
      </c>
      <c r="K53" s="42">
        <v>33</v>
      </c>
      <c r="L53" s="42" t="s">
        <v>79</v>
      </c>
      <c r="M53" s="44" t="s">
        <v>121</v>
      </c>
    </row>
    <row r="54" spans="9:13" ht="14.5">
      <c r="I54" s="42" t="s">
        <v>75</v>
      </c>
      <c r="J54" s="42" t="s">
        <v>118</v>
      </c>
      <c r="K54" s="42">
        <v>33</v>
      </c>
      <c r="L54" s="42" t="s">
        <v>79</v>
      </c>
      <c r="M54" s="44" t="s">
        <v>121</v>
      </c>
    </row>
    <row r="55" spans="9:13" ht="14.5">
      <c r="I55" s="42" t="s">
        <v>75</v>
      </c>
      <c r="J55" s="42" t="s">
        <v>105</v>
      </c>
      <c r="K55" s="42">
        <v>33</v>
      </c>
      <c r="L55" s="42" t="s">
        <v>79</v>
      </c>
      <c r="M55" s="44" t="s">
        <v>119</v>
      </c>
    </row>
    <row r="56" spans="9:13" ht="14.5">
      <c r="I56" s="42" t="s">
        <v>75</v>
      </c>
      <c r="J56" s="42" t="s">
        <v>117</v>
      </c>
      <c r="K56" s="42">
        <v>33</v>
      </c>
      <c r="L56" s="42" t="s">
        <v>79</v>
      </c>
      <c r="M56" s="44" t="s">
        <v>119</v>
      </c>
    </row>
    <row r="57" spans="9:13" ht="14.5">
      <c r="I57" s="42" t="s">
        <v>75</v>
      </c>
      <c r="J57" s="42" t="s">
        <v>108</v>
      </c>
      <c r="K57" s="42">
        <v>38</v>
      </c>
      <c r="L57" s="42" t="s">
        <v>79</v>
      </c>
      <c r="M57" s="44" t="s">
        <v>123</v>
      </c>
    </row>
  </sheetData>
  <mergeCells count="2">
    <mergeCell ref="I2:M5"/>
    <mergeCell ref="I6:M6"/>
  </mergeCells>
  <phoneticPr fontId="12" type="noConversion"/>
  <conditionalFormatting sqref="J1:J5 J58:J1048576">
    <cfRule type="duplicateValues" dxfId="6" priority="5"/>
    <cfRule type="duplicateValues" dxfId="5" priority="6"/>
  </conditionalFormatting>
  <conditionalFormatting sqref="J1:J1048576">
    <cfRule type="duplicateValues" dxfId="4" priority="1"/>
  </conditionalFormatting>
  <conditionalFormatting sqref="J58:J1048576 J1:J5">
    <cfRule type="duplicateValues" dxfId="3" priority="9"/>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BF61A-7A3D-437C-859D-11B49636709B}">
  <dimension ref="A1:AG34"/>
  <sheetViews>
    <sheetView topLeftCell="A4" zoomScale="85" zoomScaleNormal="85" workbookViewId="0">
      <selection activeCell="AF15" sqref="AF15"/>
    </sheetView>
  </sheetViews>
  <sheetFormatPr defaultColWidth="8.6640625" defaultRowHeight="14"/>
  <cols>
    <col min="1" max="1" width="46.1640625" style="29" customWidth="1"/>
    <col min="2" max="3" width="5.58203125" style="29" customWidth="1"/>
    <col min="4" max="25" width="3.25" style="29" customWidth="1"/>
    <col min="26" max="28" width="8.6640625" style="29"/>
    <col min="29" max="29" width="9"/>
    <col min="30" max="30" width="12.6640625" customWidth="1"/>
    <col min="31" max="32" width="9"/>
    <col min="33" max="33" width="55.25" customWidth="1"/>
    <col min="34" max="16384" width="8.6640625" style="29"/>
  </cols>
  <sheetData>
    <row r="1" spans="1:33">
      <c r="A1" s="29" t="s">
        <v>66</v>
      </c>
      <c r="B1" s="30">
        <v>10</v>
      </c>
      <c r="AC1" s="40" t="s">
        <v>67</v>
      </c>
    </row>
    <row r="2" spans="1:33">
      <c r="A2" s="29" t="str">
        <f>REPT("☆",B1)</f>
        <v>☆☆☆☆☆☆☆☆☆☆</v>
      </c>
      <c r="AC2" s="68" t="s">
        <v>129</v>
      </c>
      <c r="AD2" s="68"/>
      <c r="AE2" s="68"/>
      <c r="AF2" s="68"/>
      <c r="AG2" s="68"/>
    </row>
    <row r="3" spans="1:33">
      <c r="A3" s="29" t="s">
        <v>21</v>
      </c>
      <c r="AC3" s="68"/>
      <c r="AD3" s="68"/>
      <c r="AE3" s="68"/>
      <c r="AF3" s="68"/>
      <c r="AG3" s="68"/>
    </row>
    <row r="4" spans="1:33" ht="382" customHeight="1">
      <c r="A4" s="67" t="s">
        <v>64</v>
      </c>
      <c r="B4" s="67"/>
      <c r="C4" s="67"/>
      <c r="D4" s="67"/>
      <c r="E4" s="67"/>
      <c r="F4" s="67"/>
      <c r="G4" s="67"/>
      <c r="H4" s="67"/>
      <c r="I4" s="67"/>
      <c r="J4" s="67"/>
      <c r="K4" s="67"/>
      <c r="L4" s="67"/>
      <c r="M4" s="67"/>
      <c r="N4" s="67"/>
      <c r="O4" s="67"/>
      <c r="P4" s="67"/>
      <c r="Q4" s="67"/>
      <c r="R4" s="67"/>
      <c r="S4" s="67"/>
      <c r="T4" s="67"/>
      <c r="U4" s="67"/>
      <c r="V4" s="67"/>
      <c r="W4" s="67"/>
      <c r="X4" s="67"/>
      <c r="Y4" s="67"/>
      <c r="Z4" s="67"/>
      <c r="AA4" s="67"/>
      <c r="AC4" s="68"/>
      <c r="AD4" s="68"/>
      <c r="AE4" s="68"/>
      <c r="AF4" s="68"/>
      <c r="AG4" s="68"/>
    </row>
    <row r="5" spans="1:33" ht="60.5" customHeight="1">
      <c r="A5" s="70" t="s">
        <v>63</v>
      </c>
      <c r="B5" s="70"/>
      <c r="C5" s="70"/>
      <c r="D5" s="70"/>
      <c r="E5" s="70"/>
      <c r="F5" s="70"/>
      <c r="G5" s="70"/>
      <c r="H5" s="70"/>
      <c r="I5" s="70"/>
      <c r="J5" s="70"/>
      <c r="K5" s="70"/>
      <c r="L5" s="70"/>
      <c r="M5" s="70"/>
      <c r="N5" s="70"/>
      <c r="O5" s="70"/>
      <c r="P5" s="70"/>
      <c r="Q5" s="70"/>
      <c r="R5" s="70"/>
      <c r="S5" s="70"/>
      <c r="T5" s="70"/>
      <c r="U5" s="70"/>
      <c r="V5" s="70"/>
      <c r="W5" s="70"/>
      <c r="X5" s="70"/>
      <c r="Y5" s="70"/>
      <c r="AC5" s="69"/>
      <c r="AD5" s="69"/>
      <c r="AE5" s="69"/>
      <c r="AF5" s="69"/>
      <c r="AG5" s="69"/>
    </row>
    <row r="6" spans="1:33" ht="22.5" customHeight="1">
      <c r="A6" s="31" t="s">
        <v>62</v>
      </c>
      <c r="D6" s="62" t="s">
        <v>22</v>
      </c>
      <c r="E6" s="63"/>
      <c r="F6" s="63"/>
      <c r="G6" s="63"/>
      <c r="H6" s="63"/>
      <c r="I6" s="63"/>
      <c r="J6" s="63"/>
      <c r="K6" s="63"/>
      <c r="L6" s="63"/>
      <c r="M6" s="63"/>
      <c r="N6" s="64"/>
      <c r="O6" s="62" t="s">
        <v>23</v>
      </c>
      <c r="P6" s="63"/>
      <c r="Q6" s="63"/>
      <c r="R6" s="63"/>
      <c r="S6" s="63"/>
      <c r="T6" s="63"/>
      <c r="U6" s="63"/>
      <c r="V6" s="63"/>
      <c r="W6" s="63"/>
      <c r="X6" s="63"/>
      <c r="Y6" s="64"/>
      <c r="Z6" s="32" t="s">
        <v>24</v>
      </c>
      <c r="AA6" s="32" t="s">
        <v>25</v>
      </c>
      <c r="AC6" s="59" t="s">
        <v>124</v>
      </c>
      <c r="AD6" s="60"/>
      <c r="AE6" s="60"/>
      <c r="AF6" s="60"/>
      <c r="AG6" s="61"/>
    </row>
    <row r="7" spans="1:33" ht="15" customHeight="1">
      <c r="A7" s="33" t="s">
        <v>48</v>
      </c>
      <c r="B7" s="34"/>
      <c r="D7" s="6" t="str" cm="1">
        <f t="array" ref="D7:H7">{"a","b","Z","f","g"}</f>
        <v>a</v>
      </c>
      <c r="E7" s="35" t="str">
        <v>b</v>
      </c>
      <c r="F7" s="35" t="str">
        <v>Z</v>
      </c>
      <c r="G7" s="35" t="str">
        <v>f</v>
      </c>
      <c r="H7" s="35" t="str">
        <v>g</v>
      </c>
      <c r="I7" s="35"/>
      <c r="J7" s="35"/>
      <c r="K7" s="35"/>
      <c r="L7" s="35"/>
      <c r="M7" s="35"/>
      <c r="N7" s="35"/>
      <c r="O7" s="36" t="str" cm="1">
        <f t="array" ref="O7:S7">_xlfn.REGEXEXTRACT(A7,"\G([a-z])(?=.{,6}(?!\1)(?i)\1)|.*?\KZ(?!.?.?W)|^.+\K",1)</f>
        <v>a</v>
      </c>
      <c r="P7" s="36" t="str">
        <v>b</v>
      </c>
      <c r="Q7" s="36" t="str">
        <v>Z</v>
      </c>
      <c r="R7" s="36" t="str">
        <v>f</v>
      </c>
      <c r="S7" s="36" t="str">
        <v>g</v>
      </c>
      <c r="T7" s="36"/>
      <c r="U7" s="36"/>
      <c r="V7" s="36"/>
      <c r="W7" s="36"/>
      <c r="X7" s="36"/>
      <c r="Y7" s="36"/>
      <c r="Z7" s="37" t="b" cm="1">
        <f t="array" ref="Z7">IF(COLUMNS(_xlfn.ANCHORARRAY(D7))=COLUMNS(_xlfn.ANCHORARRAY(O7)),AND(_xlfn.ANCHORARRAY(D7)=_xlfn.ANCHORARRAY(O7)))</f>
        <v>1</v>
      </c>
      <c r="AA7" s="37">
        <f ca="1">LEN(_xlfn.FORMULATEXT(O7))</f>
        <v>74</v>
      </c>
      <c r="AC7" s="42" t="s">
        <v>70</v>
      </c>
      <c r="AD7" s="42" t="s">
        <v>71</v>
      </c>
      <c r="AE7" s="42" t="s">
        <v>72</v>
      </c>
      <c r="AF7" s="42" t="s">
        <v>73</v>
      </c>
      <c r="AG7" s="42" t="s">
        <v>74</v>
      </c>
    </row>
    <row r="8" spans="1:33" ht="15" customHeight="1">
      <c r="A8" s="33" t="s">
        <v>49</v>
      </c>
      <c r="B8" s="38"/>
      <c r="D8" s="6" t="str" cm="1">
        <f t="array" ref="D8">{""}</f>
        <v/>
      </c>
      <c r="E8" s="35"/>
      <c r="F8" s="35"/>
      <c r="G8" s="35"/>
      <c r="H8" s="35"/>
      <c r="I8" s="35"/>
      <c r="J8" s="35"/>
      <c r="K8" s="35"/>
      <c r="L8" s="35"/>
      <c r="M8" s="35"/>
      <c r="N8" s="35"/>
      <c r="O8" s="36" t="str" cm="1">
        <f t="array" ref="O8">_xlfn.REGEXEXTRACT(A8,"\G([a-z])(?=.{,6}(?!\1)(?i)\1)|.*?\KZ(?!.?.?W)|^.+\K",1)</f>
        <v/>
      </c>
      <c r="P8" s="36"/>
      <c r="Q8" s="36"/>
      <c r="R8" s="36"/>
      <c r="S8" s="36"/>
      <c r="T8" s="36"/>
      <c r="U8" s="36"/>
      <c r="V8" s="36"/>
      <c r="W8" s="36"/>
      <c r="X8" s="36"/>
      <c r="Y8" s="36"/>
      <c r="Z8" s="37" t="b" cm="1">
        <f t="array" ref="Z8">IF(COLUMNS(_xlfn.ANCHORARRAY(D8))=COLUMNS(_xlfn.ANCHORARRAY(O8)),AND(_xlfn.ANCHORARRAY(D8)=_xlfn.ANCHORARRAY(O8)))</f>
        <v>1</v>
      </c>
      <c r="AC8" s="42" t="s">
        <v>75</v>
      </c>
      <c r="AD8" s="42" t="s">
        <v>76</v>
      </c>
      <c r="AE8" s="42">
        <v>74</v>
      </c>
      <c r="AF8" s="42" t="s">
        <v>77</v>
      </c>
      <c r="AG8" s="43" t="s">
        <v>125</v>
      </c>
    </row>
    <row r="9" spans="1:33" ht="15" customHeight="1">
      <c r="A9" s="33" t="s">
        <v>50</v>
      </c>
      <c r="D9" s="6" t="str" cm="1">
        <f t="array" ref="D9:E9">{"x","Z"}</f>
        <v>x</v>
      </c>
      <c r="E9" s="35" t="str">
        <v>Z</v>
      </c>
      <c r="F9" s="35"/>
      <c r="G9" s="35"/>
      <c r="H9" s="35"/>
      <c r="I9" s="35"/>
      <c r="J9" s="35"/>
      <c r="K9" s="35"/>
      <c r="L9" s="35"/>
      <c r="M9" s="35"/>
      <c r="N9" s="35"/>
      <c r="O9" s="36" t="str" cm="1">
        <f t="array" ref="O9:P9">_xlfn.REGEXEXTRACT(A9,"\G([a-z])(?=.{,6}(?!\1)(?i)\1)|.*?\KZ(?!.?.?W)|^.+\K",1)</f>
        <v>x</v>
      </c>
      <c r="P9" s="36" t="str">
        <v>Z</v>
      </c>
      <c r="Q9" s="36"/>
      <c r="R9" s="36"/>
      <c r="S9" s="36"/>
      <c r="T9" s="36"/>
      <c r="U9" s="36"/>
      <c r="V9" s="36"/>
      <c r="W9" s="36"/>
      <c r="X9" s="36"/>
      <c r="Y9" s="36"/>
      <c r="Z9" s="37" t="b" cm="1">
        <f t="array" ref="Z9">IF(COLUMNS(_xlfn.ANCHORARRAY(D9))=COLUMNS(_xlfn.ANCHORARRAY(O9)),AND(_xlfn.ANCHORARRAY(D9)=_xlfn.ANCHORARRAY(O9)))</f>
        <v>1</v>
      </c>
      <c r="AC9" s="42" t="s">
        <v>75</v>
      </c>
      <c r="AD9" s="42" t="s">
        <v>76</v>
      </c>
      <c r="AE9" s="42">
        <v>66</v>
      </c>
      <c r="AF9" s="42" t="s">
        <v>79</v>
      </c>
      <c r="AG9" s="43" t="s">
        <v>126</v>
      </c>
    </row>
    <row r="10" spans="1:33" ht="15" customHeight="1">
      <c r="A10" s="33" t="s">
        <v>51</v>
      </c>
      <c r="B10" s="38"/>
      <c r="D10" s="6" t="str" cm="1">
        <f t="array" ref="D10:N10">{"u","m","p","d","Z","f","Z","r","r","r","r"}</f>
        <v>u</v>
      </c>
      <c r="E10" s="35" t="str">
        <v>m</v>
      </c>
      <c r="F10" s="35" t="str">
        <v>p</v>
      </c>
      <c r="G10" s="35" t="str">
        <v>d</v>
      </c>
      <c r="H10" s="35" t="str">
        <v>Z</v>
      </c>
      <c r="I10" s="35" t="str">
        <v>f</v>
      </c>
      <c r="J10" s="35" t="str">
        <v>Z</v>
      </c>
      <c r="K10" s="35" t="str">
        <v>r</v>
      </c>
      <c r="L10" s="35" t="str">
        <v>r</v>
      </c>
      <c r="M10" s="35" t="str">
        <v>r</v>
      </c>
      <c r="N10" s="35" t="str">
        <v>r</v>
      </c>
      <c r="O10" s="36" t="str" cm="1">
        <f t="array" ref="O10:Y10">_xlfn.REGEXEXTRACT(A10,"\G([a-z])(?=.{,6}(?!\1)(?i)\1)|.*?\KZ(?!.?.?W)|^.+\K",1)</f>
        <v>u</v>
      </c>
      <c r="P10" s="36" t="str">
        <v>m</v>
      </c>
      <c r="Q10" s="36" t="str">
        <v>p</v>
      </c>
      <c r="R10" s="36" t="str">
        <v>d</v>
      </c>
      <c r="S10" s="36" t="str">
        <v>Z</v>
      </c>
      <c r="T10" s="36" t="str">
        <v>f</v>
      </c>
      <c r="U10" s="36" t="str">
        <v>Z</v>
      </c>
      <c r="V10" s="36" t="str">
        <v>r</v>
      </c>
      <c r="W10" s="36" t="str">
        <v>r</v>
      </c>
      <c r="X10" s="36" t="str">
        <v>r</v>
      </c>
      <c r="Y10" s="36" t="str">
        <v>r</v>
      </c>
      <c r="Z10" s="37" t="b" cm="1">
        <f t="array" ref="Z10">IF(COLUMNS(_xlfn.ANCHORARRAY(D10))=COLUMNS(_xlfn.ANCHORARRAY(O10)),AND(_xlfn.ANCHORARRAY(D10)=_xlfn.ANCHORARRAY(O10)))</f>
        <v>1</v>
      </c>
      <c r="AC10" s="42"/>
      <c r="AD10" s="42"/>
      <c r="AE10" s="42"/>
      <c r="AF10" s="42"/>
      <c r="AG10" s="43"/>
    </row>
    <row r="11" spans="1:33" ht="15" customHeight="1">
      <c r="A11" s="33" t="s">
        <v>52</v>
      </c>
      <c r="B11" s="38"/>
      <c r="D11" s="6" t="str" cm="1">
        <f t="array" ref="D11">{"Z"}</f>
        <v>Z</v>
      </c>
      <c r="E11" s="35"/>
      <c r="F11" s="35"/>
      <c r="G11" s="35"/>
      <c r="H11" s="35"/>
      <c r="I11" s="35"/>
      <c r="J11" s="35"/>
      <c r="K11" s="35"/>
      <c r="L11" s="35"/>
      <c r="M11" s="35"/>
      <c r="N11" s="35"/>
      <c r="O11" s="36" t="str" cm="1">
        <f t="array" ref="O11">_xlfn.REGEXEXTRACT(A11,"\G([a-z])(?=.{,6}(?!\1)(?i)\1)|.*?\KZ(?!.?.?W)|^.+\K",1)</f>
        <v>Z</v>
      </c>
      <c r="P11" s="36"/>
      <c r="Q11" s="36"/>
      <c r="R11" s="36"/>
      <c r="S11" s="36"/>
      <c r="T11" s="36"/>
      <c r="U11" s="36"/>
      <c r="V11" s="36"/>
      <c r="W11" s="36"/>
      <c r="X11" s="36"/>
      <c r="Y11" s="36"/>
      <c r="Z11" s="37" t="b" cm="1">
        <f t="array" ref="Z11">IF(COLUMNS(_xlfn.ANCHORARRAY(D11))=COLUMNS(_xlfn.ANCHORARRAY(O11)),AND(_xlfn.ANCHORARRAY(D11)=_xlfn.ANCHORARRAY(O11)))</f>
        <v>1</v>
      </c>
      <c r="AC11" s="42" t="s">
        <v>75</v>
      </c>
      <c r="AD11" s="42" t="s">
        <v>86</v>
      </c>
      <c r="AE11" s="42">
        <v>88</v>
      </c>
      <c r="AF11" s="42" t="s">
        <v>77</v>
      </c>
      <c r="AG11" s="44" t="s">
        <v>127</v>
      </c>
    </row>
    <row r="12" spans="1:33" ht="15" customHeight="1">
      <c r="A12" s="33" t="s">
        <v>61</v>
      </c>
      <c r="B12" s="38"/>
      <c r="C12" s="39"/>
      <c r="D12" s="6" t="str" cm="1">
        <f t="array" ref="D12:K12">{"a","Z","Z","Z","Z","Z","Z","Z"}</f>
        <v>a</v>
      </c>
      <c r="E12" s="35" t="str">
        <v>Z</v>
      </c>
      <c r="F12" s="35" t="str">
        <v>Z</v>
      </c>
      <c r="G12" s="35" t="str">
        <v>Z</v>
      </c>
      <c r="H12" s="35" t="str">
        <v>Z</v>
      </c>
      <c r="I12" s="35" t="str">
        <v>Z</v>
      </c>
      <c r="J12" s="35" t="str">
        <v>Z</v>
      </c>
      <c r="K12" s="35" t="str">
        <v>Z</v>
      </c>
      <c r="L12" s="35"/>
      <c r="M12" s="35"/>
      <c r="N12" s="35"/>
      <c r="O12" s="36" t="str" cm="1">
        <f t="array" ref="O12:V12">_xlfn.REGEXEXTRACT(A12,"\G([a-z])(?=.{,6}(?!\1)(?i)\1)|.*?\KZ(?!.?.?W)|^.+\K",1)</f>
        <v>a</v>
      </c>
      <c r="P12" s="36" t="str">
        <v>Z</v>
      </c>
      <c r="Q12" s="36" t="str">
        <v>Z</v>
      </c>
      <c r="R12" s="36" t="str">
        <v>Z</v>
      </c>
      <c r="S12" s="36" t="str">
        <v>Z</v>
      </c>
      <c r="T12" s="36" t="str">
        <v>Z</v>
      </c>
      <c r="U12" s="36" t="str">
        <v>Z</v>
      </c>
      <c r="V12" s="36" t="str">
        <v>Z</v>
      </c>
      <c r="W12" s="36"/>
      <c r="X12" s="36"/>
      <c r="Y12" s="36"/>
      <c r="Z12" s="37" t="b" cm="1">
        <f t="array" ref="Z12">IF(COLUMNS(_xlfn.ANCHORARRAY(D12))=COLUMNS(_xlfn.ANCHORARRAY(O12)),AND(_xlfn.ANCHORARRAY(D12)=_xlfn.ANCHORARRAY(O12)))</f>
        <v>1</v>
      </c>
      <c r="AC12" s="42" t="s">
        <v>75</v>
      </c>
      <c r="AD12" s="42" t="s">
        <v>89</v>
      </c>
      <c r="AE12" s="42">
        <v>89</v>
      </c>
      <c r="AF12" s="42" t="s">
        <v>77</v>
      </c>
      <c r="AG12" s="44" t="s">
        <v>128</v>
      </c>
    </row>
    <row r="13" spans="1:33" ht="15" customHeight="1">
      <c r="A13" s="33" t="s">
        <v>53</v>
      </c>
      <c r="B13" s="38"/>
      <c r="C13" s="39"/>
      <c r="D13" s="6" t="str" cm="1">
        <f t="array" ref="D13">{"s"}</f>
        <v>s</v>
      </c>
      <c r="E13" s="35"/>
      <c r="F13" s="35"/>
      <c r="G13" s="35"/>
      <c r="H13" s="35"/>
      <c r="I13" s="35"/>
      <c r="J13" s="35"/>
      <c r="K13" s="35"/>
      <c r="L13" s="35"/>
      <c r="M13" s="35"/>
      <c r="N13" s="35"/>
      <c r="O13" s="36" t="str" cm="1">
        <f t="array" ref="O13">_xlfn.REGEXEXTRACT(A13,"\G([a-z])(?=.{,6}(?!\1)(?i)\1)|.*?\KZ(?!.?.?W)|^.+\K",1)</f>
        <v>s</v>
      </c>
      <c r="P13" s="36"/>
      <c r="Q13" s="36"/>
      <c r="R13" s="36"/>
      <c r="S13" s="36"/>
      <c r="T13" s="36"/>
      <c r="U13" s="36"/>
      <c r="V13" s="36"/>
      <c r="W13" s="36"/>
      <c r="X13" s="36"/>
      <c r="Y13" s="36"/>
      <c r="Z13" s="37" t="b" cm="1">
        <f t="array" ref="Z13">IF(COLUMNS(_xlfn.ANCHORARRAY(D13))=COLUMNS(_xlfn.ANCHORARRAY(O13)),AND(_xlfn.ANCHORARRAY(D13)=_xlfn.ANCHORARRAY(O13)))</f>
        <v>1</v>
      </c>
    </row>
    <row r="14" spans="1:33" ht="15" customHeight="1">
      <c r="A14" s="33" t="s">
        <v>54</v>
      </c>
      <c r="B14" s="38"/>
      <c r="C14" s="39"/>
      <c r="D14" s="6" t="str" cm="1">
        <f t="array" ref="D14:J14">{"x","v","f","o","Z","Z","p"}</f>
        <v>x</v>
      </c>
      <c r="E14" s="35" t="str">
        <v>v</v>
      </c>
      <c r="F14" s="35" t="str">
        <v>f</v>
      </c>
      <c r="G14" s="35" t="str">
        <v>o</v>
      </c>
      <c r="H14" s="35" t="str">
        <v>Z</v>
      </c>
      <c r="I14" s="35" t="str">
        <v>Z</v>
      </c>
      <c r="J14" s="35" t="str">
        <v>p</v>
      </c>
      <c r="K14" s="35"/>
      <c r="L14" s="35"/>
      <c r="M14" s="35"/>
      <c r="N14" s="35"/>
      <c r="O14" s="36" t="str" cm="1">
        <f t="array" ref="O14:U14">_xlfn.REGEXEXTRACT(A14,"\G([a-z])(?=.{,6}(?!\1)(?i)\1)|.*?\KZ(?!.?.?W)|^.+\K",1)</f>
        <v>x</v>
      </c>
      <c r="P14" s="36" t="str">
        <v>v</v>
      </c>
      <c r="Q14" s="36" t="str">
        <v>f</v>
      </c>
      <c r="R14" s="36" t="str">
        <v>o</v>
      </c>
      <c r="S14" s="36" t="str">
        <v>Z</v>
      </c>
      <c r="T14" s="36" t="str">
        <v>Z</v>
      </c>
      <c r="U14" s="36" t="str">
        <v>p</v>
      </c>
      <c r="V14" s="36"/>
      <c r="W14" s="36"/>
      <c r="X14" s="36"/>
      <c r="Y14" s="36"/>
      <c r="Z14" s="37" t="b" cm="1">
        <f t="array" ref="Z14">IF(COLUMNS(_xlfn.ANCHORARRAY(D14))=COLUMNS(_xlfn.ANCHORARRAY(O14)),AND(_xlfn.ANCHORARRAY(D14)=_xlfn.ANCHORARRAY(O14)))</f>
        <v>1</v>
      </c>
    </row>
    <row r="15" spans="1:33" ht="15" customHeight="1">
      <c r="A15" s="33" t="s">
        <v>55</v>
      </c>
      <c r="B15" s="38"/>
      <c r="C15" s="39"/>
      <c r="D15" s="6" t="str" cm="1">
        <f t="array" ref="D15:F15">{"Z","Z","Z"}</f>
        <v>Z</v>
      </c>
      <c r="E15" s="35" t="str">
        <v>Z</v>
      </c>
      <c r="F15" s="35" t="str">
        <v>Z</v>
      </c>
      <c r="G15" s="35"/>
      <c r="H15" s="35"/>
      <c r="I15" s="35"/>
      <c r="J15" s="35"/>
      <c r="K15" s="35"/>
      <c r="L15" s="35"/>
      <c r="M15" s="35"/>
      <c r="N15" s="35"/>
      <c r="O15" s="36" t="str" cm="1">
        <f t="array" ref="O15:Q15">_xlfn.REGEXEXTRACT(A15,"\G([a-z])(?=.{,6}(?!\1)(?i)\1)|.*?\KZ(?!.?.?W)|^.+\K",1)</f>
        <v>Z</v>
      </c>
      <c r="P15" s="36" t="str">
        <v>Z</v>
      </c>
      <c r="Q15" s="36" t="str">
        <v>Z</v>
      </c>
      <c r="R15" s="36"/>
      <c r="S15" s="36"/>
      <c r="T15" s="36"/>
      <c r="U15" s="36"/>
      <c r="V15" s="36"/>
      <c r="W15" s="36"/>
      <c r="X15" s="36"/>
      <c r="Y15" s="36"/>
      <c r="Z15" s="37" t="b" cm="1">
        <f t="array" ref="Z15">IF(COLUMNS(_xlfn.ANCHORARRAY(D15))=COLUMNS(_xlfn.ANCHORARRAY(O15)),AND(_xlfn.ANCHORARRAY(D15)=_xlfn.ANCHORARRAY(O15)))</f>
        <v>1</v>
      </c>
    </row>
    <row r="16" spans="1:33" ht="15" customHeight="1">
      <c r="A16" s="33" t="s">
        <v>56</v>
      </c>
      <c r="B16" s="38"/>
      <c r="C16" s="39"/>
      <c r="D16" s="6" t="str" cm="1">
        <f t="array" ref="D16:H16">{"Z","e","r","r","e"}</f>
        <v>Z</v>
      </c>
      <c r="E16" s="35" t="str">
        <v>e</v>
      </c>
      <c r="F16" s="35" t="str">
        <v>r</v>
      </c>
      <c r="G16" s="35" t="str">
        <v>r</v>
      </c>
      <c r="H16" s="35" t="str">
        <v>e</v>
      </c>
      <c r="I16" s="35"/>
      <c r="J16" s="35"/>
      <c r="K16" s="35"/>
      <c r="L16" s="35"/>
      <c r="M16" s="35"/>
      <c r="N16" s="35"/>
      <c r="O16" s="36" t="str" cm="1">
        <f t="array" ref="O16:S16">_xlfn.REGEXEXTRACT(A16,"\G([a-z])(?=.{,6}(?!\1)(?i)\1)|.*?\KZ(?!.?.?W)|^.+\K",1)</f>
        <v>Z</v>
      </c>
      <c r="P16" s="36" t="str">
        <v>e</v>
      </c>
      <c r="Q16" s="36" t="str">
        <v>r</v>
      </c>
      <c r="R16" s="36" t="str">
        <v>r</v>
      </c>
      <c r="S16" s="36" t="str">
        <v>e</v>
      </c>
      <c r="T16" s="36"/>
      <c r="U16" s="36"/>
      <c r="V16" s="36"/>
      <c r="W16" s="36"/>
      <c r="X16" s="36"/>
      <c r="Y16" s="36"/>
      <c r="Z16" s="37" t="b" cm="1">
        <f t="array" ref="Z16">IF(COLUMNS(_xlfn.ANCHORARRAY(D16))=COLUMNS(_xlfn.ANCHORARRAY(O16)),AND(_xlfn.ANCHORARRAY(D16)=_xlfn.ANCHORARRAY(O16)))</f>
        <v>1</v>
      </c>
    </row>
    <row r="17" spans="1:26" ht="15" customHeight="1">
      <c r="A17" s="33" t="s">
        <v>57</v>
      </c>
      <c r="B17" s="38"/>
      <c r="C17" s="39"/>
      <c r="D17" s="6" t="str" cm="1">
        <f t="array" ref="D17:E17">{"Z","Z"}</f>
        <v>Z</v>
      </c>
      <c r="E17" s="35" t="str">
        <v>Z</v>
      </c>
      <c r="F17" s="35"/>
      <c r="G17" s="35"/>
      <c r="H17" s="35"/>
      <c r="I17" s="35"/>
      <c r="J17" s="35"/>
      <c r="K17" s="35"/>
      <c r="L17" s="35"/>
      <c r="M17" s="35"/>
      <c r="N17" s="35"/>
      <c r="O17" s="36" t="str" cm="1">
        <f t="array" ref="O17:P17">_xlfn.REGEXEXTRACT(A17,"\G([a-z])(?=.{,6}(?!\1)(?i)\1)|.*?\KZ(?!.?.?W)|^.+\K",1)</f>
        <v>Z</v>
      </c>
      <c r="P17" s="36" t="str">
        <v>Z</v>
      </c>
      <c r="Q17" s="36"/>
      <c r="R17" s="36"/>
      <c r="S17" s="36"/>
      <c r="T17" s="36"/>
      <c r="U17" s="36"/>
      <c r="V17" s="36"/>
      <c r="W17" s="36"/>
      <c r="X17" s="36"/>
      <c r="Y17" s="36"/>
      <c r="Z17" s="37" t="b" cm="1">
        <f t="array" ref="Z17">IF(COLUMNS(_xlfn.ANCHORARRAY(D17))=COLUMNS(_xlfn.ANCHORARRAY(O17)),AND(_xlfn.ANCHORARRAY(D17)=_xlfn.ANCHORARRAY(O17)))</f>
        <v>1</v>
      </c>
    </row>
    <row r="18" spans="1:26" ht="15" customHeight="1">
      <c r="A18" s="33" t="s">
        <v>58</v>
      </c>
      <c r="B18" s="38"/>
      <c r="C18" s="39"/>
      <c r="D18" s="6" t="str" cm="1">
        <f t="array" ref="D18">{"Z"}</f>
        <v>Z</v>
      </c>
      <c r="E18" s="35"/>
      <c r="F18" s="35"/>
      <c r="G18" s="35"/>
      <c r="H18" s="35"/>
      <c r="I18" s="35"/>
      <c r="J18" s="35"/>
      <c r="K18" s="35"/>
      <c r="L18" s="35"/>
      <c r="M18" s="35"/>
      <c r="N18" s="35"/>
      <c r="O18" s="36" t="str" cm="1">
        <f t="array" ref="O18">_xlfn.REGEXEXTRACT(A18,"\G([a-z])(?=.{,6}(?!\1)(?i)\1)|.*?\KZ(?!.?.?W)|^.+\K",1)</f>
        <v>Z</v>
      </c>
      <c r="P18" s="36"/>
      <c r="Q18" s="36"/>
      <c r="R18" s="36"/>
      <c r="S18" s="36"/>
      <c r="T18" s="36"/>
      <c r="U18" s="36"/>
      <c r="V18" s="36"/>
      <c r="W18" s="36"/>
      <c r="X18" s="36"/>
      <c r="Y18" s="36"/>
      <c r="Z18" s="37" t="b" cm="1">
        <f t="array" ref="Z18">IF(COLUMNS(_xlfn.ANCHORARRAY(D18))=COLUMNS(_xlfn.ANCHORARRAY(O18)),AND(_xlfn.ANCHORARRAY(D18)=_xlfn.ANCHORARRAY(O18)))</f>
        <v>1</v>
      </c>
    </row>
    <row r="19" spans="1:26" ht="15" customHeight="1">
      <c r="A19" s="33" t="s">
        <v>59</v>
      </c>
      <c r="B19" s="38"/>
      <c r="C19" s="39"/>
      <c r="D19" s="6" t="str" cm="1">
        <f t="array" ref="D19">{"Z"}</f>
        <v>Z</v>
      </c>
      <c r="E19" s="35"/>
      <c r="F19" s="35"/>
      <c r="G19" s="35"/>
      <c r="H19" s="35"/>
      <c r="I19" s="35"/>
      <c r="J19" s="35"/>
      <c r="K19" s="35"/>
      <c r="L19" s="35"/>
      <c r="M19" s="35"/>
      <c r="N19" s="35"/>
      <c r="O19" s="36" t="str" cm="1">
        <f t="array" ref="O19">_xlfn.REGEXEXTRACT(A19,"\G([a-z])(?=.{,6}(?!\1)(?i)\1)|.*?\KZ(?!.?.?W)|^.+\K",1)</f>
        <v>Z</v>
      </c>
      <c r="P19" s="36"/>
      <c r="Q19" s="36"/>
      <c r="R19" s="36"/>
      <c r="S19" s="36"/>
      <c r="T19" s="36"/>
      <c r="U19" s="36"/>
      <c r="V19" s="36"/>
      <c r="W19" s="36"/>
      <c r="X19" s="36"/>
      <c r="Y19" s="36"/>
      <c r="Z19" s="37" t="b" cm="1">
        <f t="array" ref="Z19">IF(COLUMNS(_xlfn.ANCHORARRAY(D19))=COLUMNS(_xlfn.ANCHORARRAY(O19)),AND(_xlfn.ANCHORARRAY(D19)=_xlfn.ANCHORARRAY(O19)))</f>
        <v>1</v>
      </c>
    </row>
    <row r="20" spans="1:26" ht="15" customHeight="1">
      <c r="A20" s="33" t="s">
        <v>60</v>
      </c>
      <c r="B20" s="38"/>
      <c r="C20" s="39"/>
      <c r="D20" s="6" t="str" cm="1">
        <f t="array" ref="D20">{""}</f>
        <v/>
      </c>
      <c r="E20" s="35"/>
      <c r="F20" s="35"/>
      <c r="G20" s="35"/>
      <c r="H20" s="35"/>
      <c r="I20" s="35"/>
      <c r="J20" s="35"/>
      <c r="K20" s="35"/>
      <c r="L20" s="35"/>
      <c r="M20" s="35"/>
      <c r="N20" s="35"/>
      <c r="O20" s="36" t="str" cm="1">
        <f t="array" ref="O20">_xlfn.REGEXEXTRACT(A20,"\G([a-z])(?=.{,6}(?!\1)(?i)\1)|.*?\KZ(?!.?.?W)|^.+\K",1)</f>
        <v/>
      </c>
      <c r="P20" s="36"/>
      <c r="Q20" s="36"/>
      <c r="R20" s="36"/>
      <c r="S20" s="36"/>
      <c r="T20" s="36"/>
      <c r="U20" s="36"/>
      <c r="V20" s="36"/>
      <c r="W20" s="36"/>
      <c r="X20" s="36"/>
      <c r="Y20" s="36"/>
      <c r="Z20" s="37" t="b" cm="1">
        <f t="array" ref="Z20">IF(COLUMNS(_xlfn.ANCHORARRAY(D20))=COLUMNS(_xlfn.ANCHORARRAY(O20)),AND(_xlfn.ANCHORARRAY(D20)=_xlfn.ANCHORARRAY(O20)))</f>
        <v>1</v>
      </c>
    </row>
    <row r="21" spans="1:26" ht="147" customHeight="1">
      <c r="A21" s="65" t="s">
        <v>65</v>
      </c>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spans="1:26" ht="22" customHeight="1">
      <c r="A22" s="32" t="s">
        <v>142</v>
      </c>
      <c r="B22" s="48"/>
      <c r="C22" s="48"/>
      <c r="D22" s="62" t="s">
        <v>22</v>
      </c>
      <c r="E22" s="63"/>
      <c r="F22" s="63"/>
      <c r="G22" s="63"/>
      <c r="H22" s="63"/>
      <c r="I22" s="63"/>
      <c r="J22" s="63"/>
      <c r="K22" s="63"/>
      <c r="L22" s="63"/>
      <c r="M22" s="63"/>
      <c r="N22" s="64"/>
      <c r="O22" s="62" t="s">
        <v>23</v>
      </c>
      <c r="P22" s="63"/>
      <c r="Q22" s="63"/>
      <c r="R22" s="63"/>
      <c r="S22" s="63"/>
      <c r="T22" s="63"/>
      <c r="U22" s="63"/>
      <c r="V22" s="63"/>
      <c r="W22" s="63"/>
      <c r="X22" s="63"/>
      <c r="Y22" s="64"/>
      <c r="Z22" s="32" t="s">
        <v>24</v>
      </c>
    </row>
    <row r="23" spans="1:26" ht="15" customHeight="1">
      <c r="A23" s="45" t="s">
        <v>130</v>
      </c>
      <c r="B23" s="38"/>
      <c r="C23" s="39"/>
      <c r="D23" s="6" t="str" cm="1">
        <f t="array" ref="D23">{""}</f>
        <v/>
      </c>
      <c r="E23" s="46"/>
      <c r="F23" s="46"/>
      <c r="G23" s="46"/>
      <c r="H23" s="46"/>
      <c r="I23" s="46"/>
      <c r="J23" s="46"/>
      <c r="K23" s="46"/>
      <c r="L23" s="46"/>
      <c r="M23" s="46"/>
      <c r="N23" s="46"/>
      <c r="O23" s="47" t="str" cm="1">
        <f t="array" ref="O23">_xlfn.REGEXEXTRACT(A23,"\G([a-z])(?=.{,6}(?!\1)(?i)\1)|.*?\KZ(?!.?.?W)|^.+\K",1)</f>
        <v/>
      </c>
      <c r="P23" s="47"/>
      <c r="Q23" s="47"/>
      <c r="R23" s="47"/>
      <c r="S23" s="47"/>
      <c r="T23" s="47"/>
      <c r="U23" s="47"/>
      <c r="V23" s="47"/>
      <c r="W23" s="47"/>
      <c r="X23" s="47"/>
      <c r="Y23" s="47"/>
      <c r="Z23" s="37" t="b" cm="1">
        <f t="array" ref="Z23">IF(COLUMNS(_xlfn.ANCHORARRAY(D23))=COLUMNS(_xlfn.ANCHORARRAY(O23)),AND(_xlfn.ANCHORARRAY(D23)=_xlfn.ANCHORARRAY(O23)))</f>
        <v>1</v>
      </c>
    </row>
    <row r="24" spans="1:26" ht="15" customHeight="1">
      <c r="A24" s="33" t="s">
        <v>133</v>
      </c>
      <c r="B24" s="38"/>
      <c r="C24" s="39"/>
      <c r="D24" s="6" t="str" cm="1">
        <f t="array" ref="D24">{""}</f>
        <v/>
      </c>
      <c r="E24" s="35"/>
      <c r="F24" s="35"/>
      <c r="G24" s="35"/>
      <c r="H24" s="35"/>
      <c r="I24" s="35"/>
      <c r="J24" s="35"/>
      <c r="K24" s="35"/>
      <c r="L24" s="35"/>
      <c r="M24" s="35"/>
      <c r="N24" s="35"/>
      <c r="O24" s="36" t="str" cm="1">
        <f t="array" ref="O24">_xlfn.REGEXEXTRACT(A24,"\G([a-z])(?=.{,6}(?!\1)(?i)\1)|.*?\KZ(?!.?.?W)|^.+\K",1)</f>
        <v/>
      </c>
      <c r="P24" s="36"/>
      <c r="Q24" s="36"/>
      <c r="R24" s="36"/>
      <c r="S24" s="36"/>
      <c r="T24" s="36"/>
      <c r="U24" s="36"/>
      <c r="V24" s="36"/>
      <c r="W24" s="36"/>
      <c r="X24" s="36"/>
      <c r="Y24" s="36"/>
      <c r="Z24" s="37" t="b" cm="1">
        <f t="array" ref="Z24">IF(COLUMNS(_xlfn.ANCHORARRAY(D24))=COLUMNS(_xlfn.ANCHORARRAY(O24)),AND(_xlfn.ANCHORARRAY(D24)=_xlfn.ANCHORARRAY(O24)))</f>
        <v>1</v>
      </c>
    </row>
    <row r="25" spans="1:26" ht="15" customHeight="1">
      <c r="A25" s="33" t="s">
        <v>134</v>
      </c>
      <c r="B25" s="38"/>
      <c r="C25" s="39"/>
      <c r="D25" s="6" t="str" cm="1">
        <f t="array" ref="D25">{""}</f>
        <v/>
      </c>
      <c r="E25" s="35"/>
      <c r="F25" s="35"/>
      <c r="G25" s="35"/>
      <c r="H25" s="35"/>
      <c r="I25" s="35"/>
      <c r="J25" s="35"/>
      <c r="K25" s="35"/>
      <c r="L25" s="35"/>
      <c r="M25" s="35"/>
      <c r="N25" s="35"/>
      <c r="O25" s="36" t="str" cm="1">
        <f t="array" ref="O25">_xlfn.REGEXEXTRACT(A25,"\G([a-z])(?=.{,6}(?!\1)(?i)\1)|.*?\KZ(?!.?.?W)|^.+\K",1)</f>
        <v/>
      </c>
      <c r="P25" s="36"/>
      <c r="Q25" s="36"/>
      <c r="R25" s="36"/>
      <c r="S25" s="36"/>
      <c r="T25" s="36"/>
      <c r="U25" s="36"/>
      <c r="V25" s="36"/>
      <c r="W25" s="36"/>
      <c r="X25" s="36"/>
      <c r="Y25" s="36"/>
      <c r="Z25" s="37" t="b" cm="1">
        <f t="array" ref="Z25">IF(COLUMNS(_xlfn.ANCHORARRAY(D25))=COLUMNS(_xlfn.ANCHORARRAY(O25)),AND(_xlfn.ANCHORARRAY(D25)=_xlfn.ANCHORARRAY(O25)))</f>
        <v>1</v>
      </c>
    </row>
    <row r="26" spans="1:26" ht="15" customHeight="1">
      <c r="A26" s="33" t="s">
        <v>135</v>
      </c>
      <c r="B26" s="38"/>
      <c r="C26" s="39"/>
      <c r="D26" s="6" t="str" cm="1">
        <f t="array" ref="D26">{""}</f>
        <v/>
      </c>
      <c r="E26" s="35"/>
      <c r="F26" s="35"/>
      <c r="G26" s="35"/>
      <c r="H26" s="35"/>
      <c r="I26" s="35"/>
      <c r="J26" s="35"/>
      <c r="K26" s="35"/>
      <c r="L26" s="35"/>
      <c r="M26" s="35"/>
      <c r="N26" s="35"/>
      <c r="O26" s="36" t="str" cm="1">
        <f t="array" ref="O26">_xlfn.REGEXEXTRACT(A26,"\G([a-z])(?=.{,6}(?!\1)(?i)\1)|.*?\KZ(?!.?.?W)|^.+\K",1)</f>
        <v/>
      </c>
      <c r="P26" s="36"/>
      <c r="Q26" s="36"/>
      <c r="R26" s="36"/>
      <c r="S26" s="36"/>
      <c r="T26" s="36"/>
      <c r="U26" s="36"/>
      <c r="V26" s="36"/>
      <c r="W26" s="36"/>
      <c r="X26" s="36"/>
      <c r="Y26" s="36"/>
      <c r="Z26" s="37" t="b" cm="1">
        <f t="array" ref="Z26">IF(COLUMNS(_xlfn.ANCHORARRAY(D26))=COLUMNS(_xlfn.ANCHORARRAY(O26)),AND(_xlfn.ANCHORARRAY(D26)=_xlfn.ANCHORARRAY(O26)))</f>
        <v>1</v>
      </c>
    </row>
    <row r="27" spans="1:26" ht="15" customHeight="1">
      <c r="A27" s="33" t="s">
        <v>136</v>
      </c>
      <c r="B27" s="38"/>
      <c r="C27" s="39"/>
      <c r="D27" s="6" t="str" cm="1">
        <f t="array" ref="D27">{""}</f>
        <v/>
      </c>
      <c r="E27" s="35"/>
      <c r="F27" s="35"/>
      <c r="G27" s="35"/>
      <c r="H27" s="35"/>
      <c r="I27" s="35"/>
      <c r="J27" s="35"/>
      <c r="K27" s="35"/>
      <c r="L27" s="35"/>
      <c r="M27" s="35"/>
      <c r="N27" s="35"/>
      <c r="O27" s="36" t="str" cm="1">
        <f t="array" ref="O27">_xlfn.REGEXEXTRACT(A27,"\G([a-z])(?=.{,6}(?!\1)(?i)\1)|.*?\KZ(?!.?.?W)|^.+\K",1)</f>
        <v/>
      </c>
      <c r="P27" s="36"/>
      <c r="Q27" s="36"/>
      <c r="R27" s="36"/>
      <c r="S27" s="36"/>
      <c r="T27" s="36"/>
      <c r="U27" s="36"/>
      <c r="V27" s="36"/>
      <c r="W27" s="36"/>
      <c r="X27" s="36"/>
      <c r="Y27" s="36"/>
      <c r="Z27" s="37" t="b" cm="1">
        <f t="array" ref="Z27">IF(COLUMNS(_xlfn.ANCHORARRAY(D27))=COLUMNS(_xlfn.ANCHORARRAY(O27)),AND(_xlfn.ANCHORARRAY(D27)=_xlfn.ANCHORARRAY(O27)))</f>
        <v>1</v>
      </c>
    </row>
    <row r="28" spans="1:26" ht="15" customHeight="1">
      <c r="A28" s="33" t="s">
        <v>137</v>
      </c>
      <c r="B28" s="38"/>
      <c r="C28" s="39"/>
      <c r="D28" s="6" t="str" cm="1">
        <f t="array" ref="D28">{""}</f>
        <v/>
      </c>
      <c r="E28" s="35"/>
      <c r="F28" s="35"/>
      <c r="G28" s="35"/>
      <c r="H28" s="35"/>
      <c r="I28" s="35"/>
      <c r="J28" s="35"/>
      <c r="K28" s="35"/>
      <c r="L28" s="35"/>
      <c r="M28" s="35"/>
      <c r="N28" s="35"/>
      <c r="O28" s="36" t="str" cm="1">
        <f t="array" ref="O28">_xlfn.REGEXEXTRACT(A28,"\G([a-z])(?=.{,6}(?!\1)(?i)\1)|.*?\KZ(?!.?.?W)|^.+\K",1)</f>
        <v/>
      </c>
      <c r="P28" s="36"/>
      <c r="Q28" s="36"/>
      <c r="R28" s="36"/>
      <c r="S28" s="36"/>
      <c r="T28" s="36"/>
      <c r="U28" s="36"/>
      <c r="V28" s="36"/>
      <c r="W28" s="36"/>
      <c r="X28" s="36"/>
      <c r="Y28" s="36"/>
      <c r="Z28" s="37" t="b" cm="1">
        <f t="array" ref="Z28">IF(COLUMNS(_xlfn.ANCHORARRAY(D28))=COLUMNS(_xlfn.ANCHORARRAY(O28)),AND(_xlfn.ANCHORARRAY(D28)=_xlfn.ANCHORARRAY(O28)))</f>
        <v>1</v>
      </c>
    </row>
    <row r="29" spans="1:26" ht="15" customHeight="1">
      <c r="A29" s="33" t="s">
        <v>138</v>
      </c>
      <c r="B29" s="38"/>
      <c r="C29" s="39"/>
      <c r="D29" s="6" t="str" cm="1">
        <f t="array" ref="D29">{""}</f>
        <v/>
      </c>
      <c r="E29" s="35"/>
      <c r="F29" s="35"/>
      <c r="G29" s="35"/>
      <c r="H29" s="35"/>
      <c r="I29" s="35"/>
      <c r="J29" s="35"/>
      <c r="K29" s="35"/>
      <c r="L29" s="35"/>
      <c r="M29" s="35"/>
      <c r="N29" s="35"/>
      <c r="O29" s="36" t="str" cm="1">
        <f t="array" ref="O29">_xlfn.REGEXEXTRACT(A29,"\G([a-z])(?=.{,6}(?!\1)(?i)\1)|.*?\KZ(?!.?.?W)|^.+\K",1)</f>
        <v/>
      </c>
      <c r="P29" s="36"/>
      <c r="Q29" s="36"/>
      <c r="R29" s="36"/>
      <c r="S29" s="36"/>
      <c r="T29" s="36"/>
      <c r="U29" s="36"/>
      <c r="V29" s="36"/>
      <c r="W29" s="36"/>
      <c r="X29" s="36"/>
      <c r="Y29" s="36"/>
      <c r="Z29" s="37" t="b" cm="1">
        <f t="array" ref="Z29">IF(COLUMNS(_xlfn.ANCHORARRAY(D29))=COLUMNS(_xlfn.ANCHORARRAY(O29)),AND(_xlfn.ANCHORARRAY(D29)=_xlfn.ANCHORARRAY(O29)))</f>
        <v>1</v>
      </c>
    </row>
    <row r="30" spans="1:26" ht="15" customHeight="1">
      <c r="A30" s="33" t="s">
        <v>139</v>
      </c>
      <c r="B30" s="38"/>
      <c r="C30" s="39"/>
      <c r="D30" s="6" t="str" cm="1">
        <f t="array" ref="D30">{""}</f>
        <v/>
      </c>
      <c r="E30" s="35"/>
      <c r="F30" s="35"/>
      <c r="G30" s="35"/>
      <c r="H30" s="35"/>
      <c r="I30" s="35"/>
      <c r="J30" s="35"/>
      <c r="K30" s="35"/>
      <c r="L30" s="35"/>
      <c r="M30" s="35"/>
      <c r="N30" s="35"/>
      <c r="O30" s="36" t="str" cm="1">
        <f t="array" ref="O30">_xlfn.REGEXEXTRACT(A30,"\G([a-z])(?=.{,6}(?!\1)(?i)\1)|.*?\KZ(?!.?.?W)|^.+\K",1)</f>
        <v/>
      </c>
      <c r="P30" s="36"/>
      <c r="Q30" s="36"/>
      <c r="R30" s="36"/>
      <c r="S30" s="36"/>
      <c r="T30" s="36"/>
      <c r="U30" s="36"/>
      <c r="V30" s="36"/>
      <c r="W30" s="36"/>
      <c r="X30" s="36"/>
      <c r="Y30" s="36"/>
      <c r="Z30" s="37" t="b" cm="1">
        <f t="array" ref="Z30">IF(COLUMNS(_xlfn.ANCHORARRAY(D30))=COLUMNS(_xlfn.ANCHORARRAY(O30)),AND(_xlfn.ANCHORARRAY(D30)=_xlfn.ANCHORARRAY(O30)))</f>
        <v>1</v>
      </c>
    </row>
    <row r="31" spans="1:26" ht="15" customHeight="1">
      <c r="A31" s="33" t="s">
        <v>140</v>
      </c>
      <c r="B31" s="38"/>
      <c r="C31" s="39"/>
      <c r="D31" s="6" t="str" cm="1">
        <f t="array" ref="D31">{""}</f>
        <v/>
      </c>
      <c r="E31" s="35"/>
      <c r="F31" s="35"/>
      <c r="G31" s="35"/>
      <c r="H31" s="35"/>
      <c r="I31" s="35"/>
      <c r="J31" s="35"/>
      <c r="K31" s="35"/>
      <c r="L31" s="35"/>
      <c r="M31" s="35"/>
      <c r="N31" s="35"/>
      <c r="O31" s="36" t="str" cm="1">
        <f t="array" ref="O31">_xlfn.REGEXEXTRACT(A31,"\G([a-z])(?=.{,6}(?!\1)(?i)\1)|.*?\KZ(?!.?.?W)|^.+\K",1)</f>
        <v/>
      </c>
      <c r="P31" s="36"/>
      <c r="Q31" s="36"/>
      <c r="R31" s="36"/>
      <c r="S31" s="36"/>
      <c r="T31" s="36"/>
      <c r="U31" s="36"/>
      <c r="V31" s="36"/>
      <c r="W31" s="36"/>
      <c r="X31" s="36"/>
      <c r="Y31" s="36"/>
      <c r="Z31" s="37" t="b" cm="1">
        <f t="array" ref="Z31">IF(COLUMNS(_xlfn.ANCHORARRAY(D31))=COLUMNS(_xlfn.ANCHORARRAY(O31)),AND(_xlfn.ANCHORARRAY(D31)=_xlfn.ANCHORARRAY(O31)))</f>
        <v>1</v>
      </c>
    </row>
    <row r="32" spans="1:26" ht="15" customHeight="1">
      <c r="A32" s="33" t="s">
        <v>141</v>
      </c>
      <c r="B32" s="38"/>
      <c r="C32" s="39"/>
      <c r="D32" s="6" t="str" cm="1">
        <f t="array" ref="D32">{""}</f>
        <v/>
      </c>
      <c r="E32" s="35"/>
      <c r="F32" s="35"/>
      <c r="G32" s="35"/>
      <c r="H32" s="35"/>
      <c r="I32" s="35"/>
      <c r="J32" s="35"/>
      <c r="K32" s="35"/>
      <c r="L32" s="35"/>
      <c r="M32" s="35"/>
      <c r="N32" s="35"/>
      <c r="O32" s="36" t="str" cm="1">
        <f t="array" ref="O32">_xlfn.REGEXEXTRACT(A32,"\G([a-z])(?=.{,6}(?!\1)(?i)\1)|.*?\KZ(?!.?.?W)|^.+\K",1)</f>
        <v/>
      </c>
      <c r="P32" s="36"/>
      <c r="Q32" s="36"/>
      <c r="R32" s="36"/>
      <c r="S32" s="36"/>
      <c r="T32" s="36"/>
      <c r="U32" s="36"/>
      <c r="V32" s="36"/>
      <c r="W32" s="36"/>
      <c r="X32" s="36"/>
      <c r="Y32" s="36"/>
      <c r="Z32" s="37" t="b" cm="1">
        <f t="array" ref="Z32">IF(COLUMNS(_xlfn.ANCHORARRAY(D32))=COLUMNS(_xlfn.ANCHORARRAY(O32)),AND(_xlfn.ANCHORARRAY(D32)=_xlfn.ANCHORARRAY(O32)))</f>
        <v>1</v>
      </c>
    </row>
    <row r="33" spans="1:26" ht="15" customHeight="1">
      <c r="A33" s="33" t="s">
        <v>131</v>
      </c>
      <c r="B33" s="38"/>
      <c r="C33" s="39"/>
      <c r="D33" s="6" t="str" cm="1">
        <f t="array" ref="D33">{""}</f>
        <v/>
      </c>
      <c r="E33" s="35"/>
      <c r="F33" s="35"/>
      <c r="G33" s="35"/>
      <c r="H33" s="35"/>
      <c r="I33" s="35"/>
      <c r="J33" s="35"/>
      <c r="K33" s="35"/>
      <c r="L33" s="35"/>
      <c r="M33" s="35"/>
      <c r="N33" s="35"/>
      <c r="O33" s="36" t="str" cm="1">
        <f t="array" ref="O33">_xlfn.REGEXEXTRACT(A33,"\G([a-z])(?=.{,6}(?!\1)(?i)\1)|.*?\KZ(?!.?.?W)|^.+\K",1)</f>
        <v/>
      </c>
      <c r="P33" s="36"/>
      <c r="Q33" s="36"/>
      <c r="R33" s="36"/>
      <c r="S33" s="36"/>
      <c r="T33" s="36"/>
      <c r="U33" s="36"/>
      <c r="V33" s="36"/>
      <c r="W33" s="36"/>
      <c r="X33" s="36"/>
      <c r="Y33" s="36"/>
      <c r="Z33" s="37" t="b" cm="1">
        <f t="array" ref="Z33">IF(COLUMNS(_xlfn.ANCHORARRAY(D33))=COLUMNS(_xlfn.ANCHORARRAY(O33)),AND(_xlfn.ANCHORARRAY(D33)=_xlfn.ANCHORARRAY(O33)))</f>
        <v>1</v>
      </c>
    </row>
    <row r="34" spans="1:26" ht="15" customHeight="1">
      <c r="A34" s="33" t="s">
        <v>132</v>
      </c>
      <c r="B34" s="38"/>
      <c r="C34" s="39"/>
      <c r="D34" s="6" t="str" cm="1">
        <f t="array" ref="D34">{"Z"}</f>
        <v>Z</v>
      </c>
      <c r="E34" s="35"/>
      <c r="F34" s="35"/>
      <c r="G34" s="35"/>
      <c r="H34" s="35"/>
      <c r="I34" s="35"/>
      <c r="J34" s="35"/>
      <c r="K34" s="35"/>
      <c r="L34" s="35"/>
      <c r="M34" s="35"/>
      <c r="N34" s="35"/>
      <c r="O34" s="36" t="str" cm="1">
        <f t="array" ref="O34">_xlfn.REGEXEXTRACT(A34,"\G([a-z])(?=.{,6}(?!\1)(?i)\1)|.*?\KZ(?!.?.?W)|^.+\K",1)</f>
        <v>Z</v>
      </c>
      <c r="P34" s="36"/>
      <c r="Q34" s="36"/>
      <c r="R34" s="36"/>
      <c r="S34" s="36"/>
      <c r="T34" s="36"/>
      <c r="U34" s="36"/>
      <c r="V34" s="36"/>
      <c r="W34" s="36"/>
      <c r="X34" s="36"/>
      <c r="Y34" s="36"/>
      <c r="Z34" s="37" t="b" cm="1">
        <f t="array" ref="Z34">IF(COLUMNS(_xlfn.ANCHORARRAY(D34))=COLUMNS(_xlfn.ANCHORARRAY(O34)),AND(_xlfn.ANCHORARRAY(D34)=_xlfn.ANCHORARRAY(O34)))</f>
        <v>1</v>
      </c>
    </row>
  </sheetData>
  <mergeCells count="9">
    <mergeCell ref="D22:N22"/>
    <mergeCell ref="O22:Y22"/>
    <mergeCell ref="A21:Z21"/>
    <mergeCell ref="A4:AA4"/>
    <mergeCell ref="AC2:AG5"/>
    <mergeCell ref="AC6:AG6"/>
    <mergeCell ref="A5:Y5"/>
    <mergeCell ref="D6:N6"/>
    <mergeCell ref="O6:Y6"/>
  </mergeCells>
  <phoneticPr fontId="12" type="noConversion"/>
  <conditionalFormatting sqref="AD1:AD5 AD14:AD1048576">
    <cfRule type="duplicateValues" dxfId="2" priority="1"/>
    <cfRule type="duplicateValues" dxfId="1" priority="2"/>
    <cfRule type="duplicateValues" dxfId="0" priority="3"/>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甜酱百味系列声明 </vt:lpstr>
      <vt:lpstr>A 字母分裂</vt:lpstr>
      <vt:lpstr>B 甜酱公主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dc:creator>
  <cp:lastModifiedBy>莫比乌斯</cp:lastModifiedBy>
  <dcterms:created xsi:type="dcterms:W3CDTF">2015-06-05T18:17:00Z</dcterms:created>
  <dcterms:modified xsi:type="dcterms:W3CDTF">2025-03-19T03:43:44Z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2052-12.1.0.20288</vt:lpwstr>
  </property>
  <property fmtid="{D5CDD505-2E9C-101B-9397-08002B2CF9AE}" pid="3" name="ICV">
    <vt:lpwstr>9BF45EF0C478474EBB2F0B7850AB78CF_12</vt:lpwstr>
  </property>
</Properties>
</file>